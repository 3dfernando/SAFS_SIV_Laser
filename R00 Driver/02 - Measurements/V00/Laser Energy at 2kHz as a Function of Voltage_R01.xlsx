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0 - Zigunov\02 - Projects\2025 - SAFS Self-Aligned Focusing Schlieren\03 - Laser Diode Driver UCSB\Measurements\"/>
    </mc:Choice>
  </mc:AlternateContent>
  <xr:revisionPtr revIDLastSave="0" documentId="13_ncr:1_{04F8F264-A1BB-46C4-B76D-5639E8364233}" xr6:coauthVersionLast="47" xr6:coauthVersionMax="47" xr10:uidLastSave="{00000000-0000-0000-0000-000000000000}"/>
  <bookViews>
    <workbookView xWindow="-28920" yWindow="-120" windowWidth="29040" windowHeight="15225" xr2:uid="{88543C75-BD72-4092-A37C-426BBA4C0125}"/>
  </bookViews>
  <sheets>
    <sheet name="New Laser Energ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2" l="1"/>
  <c r="E69" i="2"/>
  <c r="H69" i="2" s="1"/>
  <c r="C69" i="2"/>
  <c r="F68" i="2"/>
  <c r="E68" i="2"/>
  <c r="C68" i="2"/>
  <c r="F67" i="2"/>
  <c r="E67" i="2"/>
  <c r="C67" i="2"/>
  <c r="F66" i="2"/>
  <c r="E66" i="2"/>
  <c r="H66" i="2" s="1"/>
  <c r="C66" i="2"/>
  <c r="F65" i="2"/>
  <c r="E65" i="2"/>
  <c r="C65" i="2"/>
  <c r="F64" i="2"/>
  <c r="E64" i="2"/>
  <c r="C64" i="2"/>
  <c r="F63" i="2"/>
  <c r="E63" i="2"/>
  <c r="C63" i="2"/>
  <c r="F62" i="2"/>
  <c r="E62" i="2"/>
  <c r="H62" i="2" s="1"/>
  <c r="C62" i="2"/>
  <c r="F61" i="2"/>
  <c r="E61" i="2"/>
  <c r="H61" i="2" s="1"/>
  <c r="C61" i="2"/>
  <c r="F59" i="2"/>
  <c r="E59" i="2"/>
  <c r="G59" i="2" s="1"/>
  <c r="C59" i="2"/>
  <c r="F58" i="2"/>
  <c r="E58" i="2"/>
  <c r="C58" i="2"/>
  <c r="F57" i="2"/>
  <c r="E57" i="2"/>
  <c r="G57" i="2" s="1"/>
  <c r="C57" i="2"/>
  <c r="H57" i="2" s="1"/>
  <c r="F56" i="2"/>
  <c r="E56" i="2"/>
  <c r="C56" i="2"/>
  <c r="F55" i="2"/>
  <c r="E55" i="2"/>
  <c r="G55" i="2" s="1"/>
  <c r="C55" i="2"/>
  <c r="H55" i="2" s="1"/>
  <c r="F54" i="2"/>
  <c r="E54" i="2"/>
  <c r="C54" i="2"/>
  <c r="F53" i="2"/>
  <c r="E53" i="2"/>
  <c r="H53" i="2" s="1"/>
  <c r="C53" i="2"/>
  <c r="F52" i="2"/>
  <c r="E52" i="2"/>
  <c r="G52" i="2" s="1"/>
  <c r="C52" i="2"/>
  <c r="F51" i="2"/>
  <c r="E51" i="2"/>
  <c r="G51" i="2" s="1"/>
  <c r="C51" i="2"/>
  <c r="H51" i="2" s="1"/>
  <c r="H49" i="2"/>
  <c r="H48" i="2"/>
  <c r="H47" i="2"/>
  <c r="H46" i="2"/>
  <c r="H45" i="2"/>
  <c r="H44" i="2"/>
  <c r="H43" i="2"/>
  <c r="H42" i="2"/>
  <c r="H41" i="2"/>
  <c r="G49" i="2"/>
  <c r="G48" i="2"/>
  <c r="G47" i="2"/>
  <c r="G46" i="2"/>
  <c r="G45" i="2"/>
  <c r="G44" i="2"/>
  <c r="G43" i="2"/>
  <c r="G42" i="2"/>
  <c r="G41" i="2"/>
  <c r="F49" i="2"/>
  <c r="F48" i="2"/>
  <c r="F47" i="2"/>
  <c r="F46" i="2"/>
  <c r="F45" i="2"/>
  <c r="F44" i="2"/>
  <c r="F43" i="2"/>
  <c r="F42" i="2"/>
  <c r="F41" i="2"/>
  <c r="E49" i="2"/>
  <c r="E48" i="2"/>
  <c r="E47" i="2"/>
  <c r="E46" i="2"/>
  <c r="E45" i="2"/>
  <c r="E44" i="2"/>
  <c r="E43" i="2"/>
  <c r="E42" i="2"/>
  <c r="E41" i="2"/>
  <c r="C49" i="2"/>
  <c r="C48" i="2"/>
  <c r="C47" i="2"/>
  <c r="C46" i="2"/>
  <c r="C45" i="2"/>
  <c r="C44" i="2"/>
  <c r="C43" i="2"/>
  <c r="C42" i="2"/>
  <c r="C41" i="2"/>
  <c r="H9" i="2"/>
  <c r="H3" i="2"/>
  <c r="G39" i="2"/>
  <c r="G38" i="2"/>
  <c r="G37" i="2"/>
  <c r="G36" i="2"/>
  <c r="G35" i="2"/>
  <c r="G34" i="2"/>
  <c r="G17" i="2"/>
  <c r="G16" i="2"/>
  <c r="G15" i="2"/>
  <c r="G14" i="2"/>
  <c r="G13" i="2"/>
  <c r="G12" i="2"/>
  <c r="G3" i="2"/>
  <c r="F39" i="2"/>
  <c r="F38" i="2"/>
  <c r="F37" i="2"/>
  <c r="F36" i="2"/>
  <c r="F35" i="2"/>
  <c r="F34" i="2"/>
  <c r="F33" i="2"/>
  <c r="F32" i="2"/>
  <c r="F31" i="2"/>
  <c r="F30" i="2"/>
  <c r="F29" i="2"/>
  <c r="F28" i="2"/>
  <c r="E39" i="2"/>
  <c r="H39" i="2" s="1"/>
  <c r="E38" i="2"/>
  <c r="H38" i="2" s="1"/>
  <c r="E37" i="2"/>
  <c r="H37" i="2" s="1"/>
  <c r="E36" i="2"/>
  <c r="H36" i="2" s="1"/>
  <c r="E35" i="2"/>
  <c r="H35" i="2" s="1"/>
  <c r="E34" i="2"/>
  <c r="H34" i="2" s="1"/>
  <c r="E33" i="2"/>
  <c r="G33" i="2" s="1"/>
  <c r="E32" i="2"/>
  <c r="G32" i="2" s="1"/>
  <c r="E31" i="2"/>
  <c r="H31" i="2" s="1"/>
  <c r="E30" i="2"/>
  <c r="G30" i="2" s="1"/>
  <c r="E29" i="2"/>
  <c r="H29" i="2" s="1"/>
  <c r="E28" i="2"/>
  <c r="G28" i="2" s="1"/>
  <c r="E26" i="2"/>
  <c r="G26" i="2" s="1"/>
  <c r="E25" i="2"/>
  <c r="H25" i="2" s="1"/>
  <c r="E24" i="2"/>
  <c r="G24" i="2" s="1"/>
  <c r="E23" i="2"/>
  <c r="G23" i="2" s="1"/>
  <c r="E22" i="2"/>
  <c r="H22" i="2" s="1"/>
  <c r="E21" i="2"/>
  <c r="G21" i="2" s="1"/>
  <c r="E20" i="2"/>
  <c r="G20" i="2" s="1"/>
  <c r="E19" i="2"/>
  <c r="H19" i="2" s="1"/>
  <c r="E17" i="2"/>
  <c r="H17" i="2" s="1"/>
  <c r="E16" i="2"/>
  <c r="H16" i="2" s="1"/>
  <c r="E15" i="2"/>
  <c r="H15" i="2" s="1"/>
  <c r="E14" i="2"/>
  <c r="H14" i="2" s="1"/>
  <c r="E13" i="2"/>
  <c r="H13" i="2" s="1"/>
  <c r="E12" i="2"/>
  <c r="H12" i="2" s="1"/>
  <c r="E11" i="2"/>
  <c r="G11" i="2" s="1"/>
  <c r="C39" i="2"/>
  <c r="C38" i="2"/>
  <c r="C37" i="2"/>
  <c r="C36" i="2"/>
  <c r="C35" i="2"/>
  <c r="C34" i="2"/>
  <c r="C33" i="2"/>
  <c r="C32" i="2"/>
  <c r="C31" i="2"/>
  <c r="C30" i="2"/>
  <c r="C29" i="2"/>
  <c r="C28" i="2"/>
  <c r="F26" i="2"/>
  <c r="F25" i="2"/>
  <c r="F24" i="2"/>
  <c r="F23" i="2"/>
  <c r="F22" i="2"/>
  <c r="F21" i="2"/>
  <c r="F20" i="2"/>
  <c r="F19" i="2"/>
  <c r="C26" i="2"/>
  <c r="C25" i="2"/>
  <c r="C24" i="2"/>
  <c r="C23" i="2"/>
  <c r="C22" i="2"/>
  <c r="C21" i="2"/>
  <c r="C20" i="2"/>
  <c r="C19" i="2"/>
  <c r="F17" i="2"/>
  <c r="F16" i="2"/>
  <c r="F15" i="2"/>
  <c r="F14" i="2"/>
  <c r="F13" i="2"/>
  <c r="F12" i="2"/>
  <c r="F11" i="2"/>
  <c r="F9" i="2"/>
  <c r="F8" i="2"/>
  <c r="F7" i="2"/>
  <c r="F6" i="2"/>
  <c r="F5" i="2"/>
  <c r="F4" i="2"/>
  <c r="C17" i="2"/>
  <c r="C16" i="2"/>
  <c r="C15" i="2"/>
  <c r="C14" i="2"/>
  <c r="C13" i="2"/>
  <c r="C12" i="2"/>
  <c r="C11" i="2"/>
  <c r="E4" i="2"/>
  <c r="H4" i="2" s="1"/>
  <c r="E5" i="2"/>
  <c r="G5" i="2" s="1"/>
  <c r="E6" i="2"/>
  <c r="G6" i="2" s="1"/>
  <c r="E7" i="2"/>
  <c r="G7" i="2" s="1"/>
  <c r="E8" i="2"/>
  <c r="G8" i="2" s="1"/>
  <c r="E9" i="2"/>
  <c r="G9" i="2" s="1"/>
  <c r="E3" i="2"/>
  <c r="C9" i="2"/>
  <c r="C8" i="2"/>
  <c r="C7" i="2"/>
  <c r="C6" i="2"/>
  <c r="C5" i="2"/>
  <c r="C4" i="2"/>
  <c r="C3" i="2"/>
  <c r="H68" i="2" l="1"/>
  <c r="H67" i="2"/>
  <c r="H65" i="2"/>
  <c r="H64" i="2"/>
  <c r="H63" i="2"/>
  <c r="G62" i="2"/>
  <c r="G63" i="2"/>
  <c r="G61" i="2"/>
  <c r="G65" i="2"/>
  <c r="G69" i="2"/>
  <c r="G66" i="2"/>
  <c r="G67" i="2"/>
  <c r="G64" i="2"/>
  <c r="G68" i="2"/>
  <c r="H59" i="2"/>
  <c r="G53" i="2"/>
  <c r="H58" i="2"/>
  <c r="H56" i="2"/>
  <c r="H54" i="2"/>
  <c r="G56" i="2"/>
  <c r="H52" i="2"/>
  <c r="G54" i="2"/>
  <c r="G58" i="2"/>
  <c r="G22" i="2"/>
  <c r="H20" i="2"/>
  <c r="H24" i="2"/>
  <c r="H28" i="2"/>
  <c r="H30" i="2"/>
  <c r="H32" i="2"/>
  <c r="G19" i="2"/>
  <c r="H6" i="2"/>
  <c r="H8" i="2"/>
  <c r="G4" i="2"/>
  <c r="H11" i="2"/>
  <c r="H33" i="2"/>
  <c r="H5" i="2"/>
  <c r="G25" i="2"/>
  <c r="H7" i="2"/>
  <c r="G29" i="2"/>
  <c r="H21" i="2"/>
  <c r="H23" i="2"/>
  <c r="G31" i="2"/>
  <c r="H26" i="2"/>
</calcChain>
</file>

<file path=xl/sharedStrings.xml><?xml version="1.0" encoding="utf-8"?>
<sst xmlns="http://schemas.openxmlformats.org/spreadsheetml/2006/main" count="20" uniqueCount="20">
  <si>
    <t>Voltage [V]</t>
  </si>
  <si>
    <t>Cap Energy [uJ]</t>
  </si>
  <si>
    <t>Peak Power [W]</t>
  </si>
  <si>
    <t>Optical Power [uW]</t>
  </si>
  <si>
    <t>Ran ok until 8kHz at 300V. After that it overheated the transistor</t>
  </si>
  <si>
    <t>Ran ok until 30kHz at 205V.At 40kHz it overheated the transistor (after lifting the 1.2k resistor off the board)</t>
  </si>
  <si>
    <t>Pulse Frequency [Hz]</t>
  </si>
  <si>
    <t>Energy / pulse [nJ]</t>
  </si>
  <si>
    <t>Assumed Pulse Width [ns]</t>
  </si>
  <si>
    <t>Laser 1 [Blue NUBM-44] (Test on 01/18/26)</t>
  </si>
  <si>
    <t>Laser 2 [Blue NUBM-44] (Test on 01/18/26)</t>
  </si>
  <si>
    <t>[Green Z-80 laser] (Test on 02/22/26)</t>
  </si>
  <si>
    <t>[IR ST905A13 laser] (Test on 02/22/26)</t>
  </si>
  <si>
    <t>Optical Efficiency</t>
  </si>
  <si>
    <t>[Blue NUBB45 laser] (Test on 03/07/26)</t>
  </si>
  <si>
    <t>Equivalent to 5 NUBM-44 diodes (technically)</t>
  </si>
  <si>
    <t>In practice, more like 3.5x</t>
  </si>
  <si>
    <t>Current about 36A at 251V</t>
  </si>
  <si>
    <t>[Blue NUBB45 laser #1, Board Rev 01] (Test on 03/10/26)</t>
  </si>
  <si>
    <t>[Blue NUBB45 laser #2, Board Rev 01] (Test on 03/10/26)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</si>
</sst>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164" fontId="0" fillId="3" borderId="1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 wrapText="1"/>
    </xf>
    <xf numFmtId="166" fontId="0" fillId="0" borderId="3" xfId="1" applyNumberFormat="1" applyFont="1" applyBorder="1" applyAlignment="1">
      <alignment horizontal="center"/>
    </xf>
    <xf numFmtId="166" fontId="0" fillId="0" borderId="5" xfId="1" applyNumberFormat="1" applyFont="1" applyBorder="1" applyAlignment="1">
      <alignment horizontal="center"/>
    </xf>
    <xf numFmtId="166" fontId="0" fillId="0" borderId="8" xfId="1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Blue NUBM44 1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'New Laser Energy'!$A$3:$A$9</c:f>
              <c:numCache>
                <c:formatCode>General</c:formatCode>
                <c:ptCount val="7"/>
                <c:pt idx="0">
                  <c:v>180</c:v>
                </c:pt>
                <c:pt idx="1">
                  <c:v>190</c:v>
                </c:pt>
                <c:pt idx="2">
                  <c:v>202</c:v>
                </c:pt>
                <c:pt idx="3">
                  <c:v>214</c:v>
                </c:pt>
                <c:pt idx="4">
                  <c:v>227</c:v>
                </c:pt>
                <c:pt idx="5">
                  <c:v>237</c:v>
                </c:pt>
                <c:pt idx="6">
                  <c:v>255</c:v>
                </c:pt>
              </c:numCache>
            </c:numRef>
          </c:xVal>
          <c:yVal>
            <c:numRef>
              <c:f>'New Laser Energy'!$E$3:$E$9</c:f>
              <c:numCache>
                <c:formatCode>General</c:formatCode>
                <c:ptCount val="7"/>
                <c:pt idx="0">
                  <c:v>92.5</c:v>
                </c:pt>
                <c:pt idx="1">
                  <c:v>107.5</c:v>
                </c:pt>
                <c:pt idx="2">
                  <c:v>124.5</c:v>
                </c:pt>
                <c:pt idx="3">
                  <c:v>141</c:v>
                </c:pt>
                <c:pt idx="4">
                  <c:v>160.5</c:v>
                </c:pt>
                <c:pt idx="5">
                  <c:v>172.5</c:v>
                </c:pt>
                <c:pt idx="6">
                  <c:v>202.5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AD-475C-91CC-F7B5A613B4D5}"/>
            </c:ext>
          </c:extLst>
        </c:ser>
        <c:ser>
          <c:idx val="1"/>
          <c:order val="1"/>
          <c:tx>
            <c:v>Blue NUBM44 2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'New Laser Energy'!$A$11:$A$17</c:f>
              <c:numCache>
                <c:formatCode>General</c:formatCode>
                <c:ptCount val="7"/>
                <c:pt idx="0">
                  <c:v>171</c:v>
                </c:pt>
                <c:pt idx="1">
                  <c:v>181</c:v>
                </c:pt>
                <c:pt idx="2">
                  <c:v>191</c:v>
                </c:pt>
                <c:pt idx="3">
                  <c:v>200.6</c:v>
                </c:pt>
                <c:pt idx="4">
                  <c:v>216</c:v>
                </c:pt>
                <c:pt idx="5">
                  <c:v>229</c:v>
                </c:pt>
                <c:pt idx="6">
                  <c:v>251</c:v>
                </c:pt>
              </c:numCache>
            </c:numRef>
          </c:xVal>
          <c:yVal>
            <c:numRef>
              <c:f>'New Laser Energy'!$E$11:$E$17</c:f>
              <c:numCache>
                <c:formatCode>General</c:formatCode>
                <c:ptCount val="7"/>
                <c:pt idx="0">
                  <c:v>110</c:v>
                </c:pt>
                <c:pt idx="1">
                  <c:v>144</c:v>
                </c:pt>
                <c:pt idx="2">
                  <c:v>165.5</c:v>
                </c:pt>
                <c:pt idx="3">
                  <c:v>188</c:v>
                </c:pt>
                <c:pt idx="4">
                  <c:v>218</c:v>
                </c:pt>
                <c:pt idx="5">
                  <c:v>244.5</c:v>
                </c:pt>
                <c:pt idx="6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AD-475C-91CC-F7B5A613B4D5}"/>
            </c:ext>
          </c:extLst>
        </c:ser>
        <c:ser>
          <c:idx val="2"/>
          <c:order val="2"/>
          <c:tx>
            <c:v>Green Laser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'New Laser Energy'!$A$19:$A$26</c:f>
              <c:numCache>
                <c:formatCode>General</c:formatCode>
                <c:ptCount val="8"/>
                <c:pt idx="0">
                  <c:v>164</c:v>
                </c:pt>
                <c:pt idx="1">
                  <c:v>169.5</c:v>
                </c:pt>
                <c:pt idx="2">
                  <c:v>181.3</c:v>
                </c:pt>
                <c:pt idx="3">
                  <c:v>191.3</c:v>
                </c:pt>
                <c:pt idx="4">
                  <c:v>201.4</c:v>
                </c:pt>
                <c:pt idx="5">
                  <c:v>220.9</c:v>
                </c:pt>
                <c:pt idx="6">
                  <c:v>240</c:v>
                </c:pt>
                <c:pt idx="7">
                  <c:v>257.5</c:v>
                </c:pt>
              </c:numCache>
            </c:numRef>
          </c:xVal>
          <c:yVal>
            <c:numRef>
              <c:f>'New Laser Energy'!$E$19:$E$26</c:f>
              <c:numCache>
                <c:formatCode>General</c:formatCode>
                <c:ptCount val="8"/>
                <c:pt idx="0">
                  <c:v>41.6</c:v>
                </c:pt>
                <c:pt idx="1">
                  <c:v>44.6</c:v>
                </c:pt>
                <c:pt idx="2">
                  <c:v>49.5</c:v>
                </c:pt>
                <c:pt idx="3">
                  <c:v>53.3</c:v>
                </c:pt>
                <c:pt idx="4">
                  <c:v>56.3</c:v>
                </c:pt>
                <c:pt idx="5">
                  <c:v>62.2</c:v>
                </c:pt>
                <c:pt idx="6">
                  <c:v>68.5</c:v>
                </c:pt>
                <c:pt idx="7">
                  <c:v>74.400000000000006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AD-475C-91CC-F7B5A613B4D5}"/>
            </c:ext>
          </c:extLst>
        </c:ser>
        <c:ser>
          <c:idx val="3"/>
          <c:order val="3"/>
          <c:tx>
            <c:v>IR Laser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'New Laser Energy'!$A$28:$A$39</c:f>
              <c:numCache>
                <c:formatCode>General</c:formatCode>
                <c:ptCount val="12"/>
                <c:pt idx="0">
                  <c:v>165</c:v>
                </c:pt>
                <c:pt idx="1">
                  <c:v>167.7</c:v>
                </c:pt>
                <c:pt idx="2">
                  <c:v>170</c:v>
                </c:pt>
                <c:pt idx="3">
                  <c:v>181.5</c:v>
                </c:pt>
                <c:pt idx="4">
                  <c:v>189.3</c:v>
                </c:pt>
                <c:pt idx="5">
                  <c:v>206.4</c:v>
                </c:pt>
                <c:pt idx="6">
                  <c:v>219</c:v>
                </c:pt>
                <c:pt idx="7">
                  <c:v>230</c:v>
                </c:pt>
                <c:pt idx="8">
                  <c:v>245</c:v>
                </c:pt>
                <c:pt idx="9">
                  <c:v>269</c:v>
                </c:pt>
                <c:pt idx="10">
                  <c:v>292</c:v>
                </c:pt>
                <c:pt idx="11">
                  <c:v>304.60000000000002</c:v>
                </c:pt>
              </c:numCache>
            </c:numRef>
          </c:xVal>
          <c:yVal>
            <c:numRef>
              <c:f>'New Laser Energy'!$E$28:$E$39</c:f>
              <c:numCache>
                <c:formatCode>General</c:formatCode>
                <c:ptCount val="12"/>
                <c:pt idx="0">
                  <c:v>38</c:v>
                </c:pt>
                <c:pt idx="1">
                  <c:v>41.5</c:v>
                </c:pt>
                <c:pt idx="2">
                  <c:v>170.1</c:v>
                </c:pt>
                <c:pt idx="3">
                  <c:v>307</c:v>
                </c:pt>
                <c:pt idx="4">
                  <c:v>346</c:v>
                </c:pt>
                <c:pt idx="5">
                  <c:v>422</c:v>
                </c:pt>
                <c:pt idx="6">
                  <c:v>479</c:v>
                </c:pt>
                <c:pt idx="7">
                  <c:v>528</c:v>
                </c:pt>
                <c:pt idx="8">
                  <c:v>601</c:v>
                </c:pt>
                <c:pt idx="9">
                  <c:v>712</c:v>
                </c:pt>
                <c:pt idx="10">
                  <c:v>805</c:v>
                </c:pt>
                <c:pt idx="11">
                  <c:v>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AD-475C-91CC-F7B5A613B4D5}"/>
            </c:ext>
          </c:extLst>
        </c:ser>
        <c:ser>
          <c:idx val="4"/>
          <c:order val="4"/>
          <c:tx>
            <c:v>Blue NUBB45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'New Laser Energy'!$A$41:$A$49</c:f>
              <c:numCache>
                <c:formatCode>General</c:formatCode>
                <c:ptCount val="9"/>
                <c:pt idx="0">
                  <c:v>162</c:v>
                </c:pt>
                <c:pt idx="1">
                  <c:v>171</c:v>
                </c:pt>
                <c:pt idx="2">
                  <c:v>181</c:v>
                </c:pt>
                <c:pt idx="3">
                  <c:v>190</c:v>
                </c:pt>
                <c:pt idx="4">
                  <c:v>201</c:v>
                </c:pt>
                <c:pt idx="5">
                  <c:v>212</c:v>
                </c:pt>
                <c:pt idx="6">
                  <c:v>226</c:v>
                </c:pt>
                <c:pt idx="7">
                  <c:v>234</c:v>
                </c:pt>
                <c:pt idx="8">
                  <c:v>251</c:v>
                </c:pt>
              </c:numCache>
            </c:numRef>
          </c:xVal>
          <c:yVal>
            <c:numRef>
              <c:f>'New Laser Energy'!$E$41:$E$49</c:f>
              <c:numCache>
                <c:formatCode>General</c:formatCode>
                <c:ptCount val="9"/>
                <c:pt idx="0">
                  <c:v>61</c:v>
                </c:pt>
                <c:pt idx="1">
                  <c:v>75</c:v>
                </c:pt>
                <c:pt idx="2">
                  <c:v>296</c:v>
                </c:pt>
                <c:pt idx="3">
                  <c:v>397</c:v>
                </c:pt>
                <c:pt idx="4">
                  <c:v>457</c:v>
                </c:pt>
                <c:pt idx="5">
                  <c:v>510</c:v>
                </c:pt>
                <c:pt idx="6">
                  <c:v>575</c:v>
                </c:pt>
                <c:pt idx="7">
                  <c:v>608</c:v>
                </c:pt>
                <c:pt idx="8">
                  <c:v>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AD-475C-91CC-F7B5A613B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890256"/>
        <c:axId val="835893136"/>
      </c:scatterChart>
      <c:valAx>
        <c:axId val="835890256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[V]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93136"/>
        <c:crosses val="autoZero"/>
        <c:crossBetween val="midCat"/>
      </c:valAx>
      <c:valAx>
        <c:axId val="835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Energy/Pulse at 2khz [nJ]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Blue NUBM44 (Best)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'New Laser Energy'!$A$3:$A$9</c:f>
              <c:numCache>
                <c:formatCode>General</c:formatCode>
                <c:ptCount val="7"/>
                <c:pt idx="0">
                  <c:v>180</c:v>
                </c:pt>
                <c:pt idx="1">
                  <c:v>190</c:v>
                </c:pt>
                <c:pt idx="2">
                  <c:v>202</c:v>
                </c:pt>
                <c:pt idx="3">
                  <c:v>214</c:v>
                </c:pt>
                <c:pt idx="4">
                  <c:v>227</c:v>
                </c:pt>
                <c:pt idx="5">
                  <c:v>237</c:v>
                </c:pt>
                <c:pt idx="6">
                  <c:v>255</c:v>
                </c:pt>
              </c:numCache>
            </c:numRef>
          </c:xVal>
          <c:yVal>
            <c:numRef>
              <c:f>'New Laser Energy'!$E$3:$E$9</c:f>
              <c:numCache>
                <c:formatCode>General</c:formatCode>
                <c:ptCount val="7"/>
                <c:pt idx="0">
                  <c:v>92.5</c:v>
                </c:pt>
                <c:pt idx="1">
                  <c:v>107.5</c:v>
                </c:pt>
                <c:pt idx="2">
                  <c:v>124.5</c:v>
                </c:pt>
                <c:pt idx="3">
                  <c:v>141</c:v>
                </c:pt>
                <c:pt idx="4">
                  <c:v>160.5</c:v>
                </c:pt>
                <c:pt idx="5">
                  <c:v>172.5</c:v>
                </c:pt>
                <c:pt idx="6">
                  <c:v>202.5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6-4F0D-91D2-13115414EA92}"/>
            </c:ext>
          </c:extLst>
        </c:ser>
        <c:ser>
          <c:idx val="4"/>
          <c:order val="1"/>
          <c:tx>
            <c:v>Blue NUBB45, New Board #1</c:v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'New Laser Energy'!$A$51:$A$59</c:f>
              <c:numCache>
                <c:formatCode>General</c:formatCode>
                <c:ptCount val="9"/>
                <c:pt idx="0">
                  <c:v>149</c:v>
                </c:pt>
                <c:pt idx="1">
                  <c:v>169</c:v>
                </c:pt>
                <c:pt idx="2">
                  <c:v>181</c:v>
                </c:pt>
                <c:pt idx="3">
                  <c:v>205</c:v>
                </c:pt>
                <c:pt idx="4">
                  <c:v>227</c:v>
                </c:pt>
                <c:pt idx="5">
                  <c:v>252</c:v>
                </c:pt>
                <c:pt idx="6">
                  <c:v>271</c:v>
                </c:pt>
                <c:pt idx="7">
                  <c:v>292</c:v>
                </c:pt>
                <c:pt idx="8">
                  <c:v>312</c:v>
                </c:pt>
              </c:numCache>
            </c:numRef>
          </c:xVal>
          <c:yVal>
            <c:numRef>
              <c:f>'New Laser Energy'!$E$51:$E$59</c:f>
              <c:numCache>
                <c:formatCode>General</c:formatCode>
                <c:ptCount val="9"/>
                <c:pt idx="0">
                  <c:v>227</c:v>
                </c:pt>
                <c:pt idx="1">
                  <c:v>264</c:v>
                </c:pt>
                <c:pt idx="2">
                  <c:v>285</c:v>
                </c:pt>
                <c:pt idx="3">
                  <c:v>322</c:v>
                </c:pt>
                <c:pt idx="4">
                  <c:v>349</c:v>
                </c:pt>
                <c:pt idx="5">
                  <c:v>387</c:v>
                </c:pt>
                <c:pt idx="6">
                  <c:v>420</c:v>
                </c:pt>
                <c:pt idx="7">
                  <c:v>455</c:v>
                </c:pt>
                <c:pt idx="8">
                  <c:v>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C6-4F0D-91D2-13115414EA92}"/>
            </c:ext>
          </c:extLst>
        </c:ser>
        <c:ser>
          <c:idx val="1"/>
          <c:order val="2"/>
          <c:tx>
            <c:v>Blue NUBB45, New Board #2</c:v>
          </c:tx>
          <c:spPr>
            <a:ln w="19050" cap="rnd">
              <a:solidFill>
                <a:srgbClr val="0000FF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'New Laser Energy'!$A$61:$A$69</c:f>
              <c:numCache>
                <c:formatCode>General</c:formatCode>
                <c:ptCount val="9"/>
                <c:pt idx="0">
                  <c:v>145</c:v>
                </c:pt>
                <c:pt idx="1">
                  <c:v>169</c:v>
                </c:pt>
                <c:pt idx="2">
                  <c:v>187</c:v>
                </c:pt>
                <c:pt idx="3">
                  <c:v>206</c:v>
                </c:pt>
                <c:pt idx="4">
                  <c:v>222</c:v>
                </c:pt>
                <c:pt idx="5">
                  <c:v>252</c:v>
                </c:pt>
                <c:pt idx="6">
                  <c:v>279</c:v>
                </c:pt>
                <c:pt idx="7">
                  <c:v>301</c:v>
                </c:pt>
                <c:pt idx="8">
                  <c:v>312</c:v>
                </c:pt>
              </c:numCache>
            </c:numRef>
          </c:xVal>
          <c:yVal>
            <c:numRef>
              <c:f>'New Laser Energy'!$E$61:$E$69</c:f>
              <c:numCache>
                <c:formatCode>General</c:formatCode>
                <c:ptCount val="9"/>
                <c:pt idx="0">
                  <c:v>215</c:v>
                </c:pt>
                <c:pt idx="1">
                  <c:v>260</c:v>
                </c:pt>
                <c:pt idx="2">
                  <c:v>290</c:v>
                </c:pt>
                <c:pt idx="3">
                  <c:v>319</c:v>
                </c:pt>
                <c:pt idx="4">
                  <c:v>339</c:v>
                </c:pt>
                <c:pt idx="5">
                  <c:v>380</c:v>
                </c:pt>
                <c:pt idx="6">
                  <c:v>426</c:v>
                </c:pt>
                <c:pt idx="7">
                  <c:v>458</c:v>
                </c:pt>
                <c:pt idx="8">
                  <c:v>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C6-4F0D-91D2-13115414EA92}"/>
            </c:ext>
          </c:extLst>
        </c:ser>
        <c:ser>
          <c:idx val="2"/>
          <c:order val="3"/>
          <c:tx>
            <c:v>Blue NUBB45, Old Board</c:v>
          </c:tx>
          <c:spPr>
            <a:ln w="1905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'New Laser Energy'!$A$41:$A$49</c:f>
              <c:numCache>
                <c:formatCode>General</c:formatCode>
                <c:ptCount val="9"/>
                <c:pt idx="0">
                  <c:v>162</c:v>
                </c:pt>
                <c:pt idx="1">
                  <c:v>171</c:v>
                </c:pt>
                <c:pt idx="2">
                  <c:v>181</c:v>
                </c:pt>
                <c:pt idx="3">
                  <c:v>190</c:v>
                </c:pt>
                <c:pt idx="4">
                  <c:v>201</c:v>
                </c:pt>
                <c:pt idx="5">
                  <c:v>212</c:v>
                </c:pt>
                <c:pt idx="6">
                  <c:v>226</c:v>
                </c:pt>
                <c:pt idx="7">
                  <c:v>234</c:v>
                </c:pt>
                <c:pt idx="8">
                  <c:v>251</c:v>
                </c:pt>
              </c:numCache>
            </c:numRef>
          </c:xVal>
          <c:yVal>
            <c:numRef>
              <c:f>'New Laser Energy'!$E$41:$E$49</c:f>
              <c:numCache>
                <c:formatCode>General</c:formatCode>
                <c:ptCount val="9"/>
                <c:pt idx="0">
                  <c:v>61</c:v>
                </c:pt>
                <c:pt idx="1">
                  <c:v>75</c:v>
                </c:pt>
                <c:pt idx="2">
                  <c:v>296</c:v>
                </c:pt>
                <c:pt idx="3">
                  <c:v>397</c:v>
                </c:pt>
                <c:pt idx="4">
                  <c:v>457</c:v>
                </c:pt>
                <c:pt idx="5">
                  <c:v>510</c:v>
                </c:pt>
                <c:pt idx="6">
                  <c:v>575</c:v>
                </c:pt>
                <c:pt idx="7">
                  <c:v>608</c:v>
                </c:pt>
                <c:pt idx="8">
                  <c:v>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EC6-4F0D-91D2-13115414E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890256"/>
        <c:axId val="835893136"/>
      </c:scatterChart>
      <c:valAx>
        <c:axId val="835890256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</a:t>
                </a:r>
                <a:r>
                  <a:rPr lang="en-US" baseline="0"/>
                  <a:t> [V]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93136"/>
        <c:crosses val="autoZero"/>
        <c:crossBetween val="midCat"/>
      </c:valAx>
      <c:valAx>
        <c:axId val="835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Energy/Pulse at 2khz [nJ]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8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187227</xdr:colOff>
      <xdr:row>21</xdr:row>
      <xdr:rowOff>44990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2CCED1-7BF4-456D-A6F0-457BBD46B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157370</xdr:colOff>
      <xdr:row>48</xdr:row>
      <xdr:rowOff>165652</xdr:rowOff>
    </xdr:from>
    <xdr:to>
      <xdr:col>22</xdr:col>
      <xdr:colOff>344597</xdr:colOff>
      <xdr:row>68</xdr:row>
      <xdr:rowOff>32234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0C798B-02E5-4D46-9D89-6E3175F16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566B-8EF2-4776-AD94-1AE08786CB03}">
  <dimension ref="A1:I69"/>
  <sheetViews>
    <sheetView showGridLines="0" tabSelected="1" zoomScaleNormal="100" workbookViewId="0">
      <pane ySplit="1" topLeftCell="A44" activePane="bottomLeft" state="frozen"/>
      <selection pane="bottomLeft" activeCell="D72" sqref="D72"/>
    </sheetView>
  </sheetViews>
  <sheetFormatPr defaultRowHeight="14.4" x14ac:dyDescent="0.3"/>
  <cols>
    <col min="1" max="1" width="16.44140625" style="13" customWidth="1"/>
    <col min="2" max="2" width="13.6640625" style="13" customWidth="1"/>
    <col min="3" max="4" width="11.44140625" style="13" customWidth="1"/>
    <col min="5" max="5" width="11.5546875" style="13" customWidth="1"/>
    <col min="6" max="6" width="13.88671875" style="13" customWidth="1"/>
    <col min="7" max="7" width="11.21875" style="20" customWidth="1"/>
    <col min="8" max="8" width="12.6640625" style="20" customWidth="1"/>
    <col min="9" max="16384" width="8.88671875" style="2"/>
  </cols>
  <sheetData>
    <row r="1" spans="1:8" s="3" customFormat="1" ht="29.4" customHeight="1" x14ac:dyDescent="0.3">
      <c r="A1" s="6" t="s">
        <v>0</v>
      </c>
      <c r="B1" s="7" t="s">
        <v>6</v>
      </c>
      <c r="C1" s="7" t="s">
        <v>1</v>
      </c>
      <c r="D1" s="7" t="s">
        <v>3</v>
      </c>
      <c r="E1" s="7" t="s">
        <v>7</v>
      </c>
      <c r="F1" s="7" t="s">
        <v>8</v>
      </c>
      <c r="G1" s="21" t="s">
        <v>2</v>
      </c>
      <c r="H1" s="8" t="s">
        <v>13</v>
      </c>
    </row>
    <row r="2" spans="1:8" x14ac:dyDescent="0.3">
      <c r="A2" s="27" t="s">
        <v>9</v>
      </c>
      <c r="B2" s="28"/>
      <c r="C2" s="28"/>
      <c r="D2" s="28"/>
      <c r="E2" s="28"/>
      <c r="F2" s="28"/>
      <c r="G2" s="28"/>
      <c r="H2" s="29"/>
    </row>
    <row r="3" spans="1:8" x14ac:dyDescent="0.3">
      <c r="A3" s="9">
        <v>180</v>
      </c>
      <c r="B3" s="5">
        <v>2000</v>
      </c>
      <c r="C3" s="10">
        <f t="shared" ref="C3:C9" si="0">A3*A3*0.5*6*0.000000000047*1000000</f>
        <v>4.5684000000000005</v>
      </c>
      <c r="D3" s="11">
        <v>185</v>
      </c>
      <c r="E3" s="11">
        <f>D3/(B3/1000)</f>
        <v>92.5</v>
      </c>
      <c r="F3" s="11">
        <v>7</v>
      </c>
      <c r="G3" s="10">
        <f>E3/$F$3</f>
        <v>13.214285714285714</v>
      </c>
      <c r="H3" s="22">
        <f>(E3/1000)/C3</f>
        <v>2.0247789160318708E-2</v>
      </c>
    </row>
    <row r="4" spans="1:8" x14ac:dyDescent="0.3">
      <c r="A4" s="12">
        <v>190</v>
      </c>
      <c r="B4" s="13">
        <v>2000</v>
      </c>
      <c r="C4" s="14">
        <f t="shared" si="0"/>
        <v>5.0900999999999996</v>
      </c>
      <c r="D4" s="15">
        <v>215</v>
      </c>
      <c r="E4" s="15">
        <f t="shared" ref="E4:E49" si="1">D4/(B4/1000)</f>
        <v>107.5</v>
      </c>
      <c r="F4" s="15">
        <f>$F$3</f>
        <v>7</v>
      </c>
      <c r="G4" s="14">
        <f t="shared" ref="G4:G49" si="2">E4/$F$3</f>
        <v>15.357142857142858</v>
      </c>
      <c r="H4" s="23">
        <f t="shared" ref="H4:H49" si="3">(E4/1000)/C4</f>
        <v>2.1119427909078409E-2</v>
      </c>
    </row>
    <row r="5" spans="1:8" x14ac:dyDescent="0.3">
      <c r="A5" s="12">
        <v>202</v>
      </c>
      <c r="B5" s="13">
        <v>2000</v>
      </c>
      <c r="C5" s="14">
        <f t="shared" si="0"/>
        <v>5.7533639999999995</v>
      </c>
      <c r="D5" s="15">
        <v>249</v>
      </c>
      <c r="E5" s="15">
        <f t="shared" si="1"/>
        <v>124.5</v>
      </c>
      <c r="F5" s="15">
        <f t="shared" ref="F5:F9" si="4">$F$3</f>
        <v>7</v>
      </c>
      <c r="G5" s="14">
        <f t="shared" si="2"/>
        <v>17.785714285714285</v>
      </c>
      <c r="H5" s="23">
        <f t="shared" si="3"/>
        <v>2.1639513856588948E-2</v>
      </c>
    </row>
    <row r="6" spans="1:8" x14ac:dyDescent="0.3">
      <c r="A6" s="12">
        <v>214</v>
      </c>
      <c r="B6" s="13">
        <v>2000</v>
      </c>
      <c r="C6" s="14">
        <f t="shared" si="0"/>
        <v>6.457236</v>
      </c>
      <c r="D6" s="15">
        <v>282</v>
      </c>
      <c r="E6" s="15">
        <f t="shared" si="1"/>
        <v>141</v>
      </c>
      <c r="F6" s="15">
        <f t="shared" si="4"/>
        <v>7</v>
      </c>
      <c r="G6" s="14">
        <f t="shared" si="2"/>
        <v>20.142857142857142</v>
      </c>
      <c r="H6" s="23">
        <f t="shared" si="3"/>
        <v>2.183596820683029E-2</v>
      </c>
    </row>
    <row r="7" spans="1:8" x14ac:dyDescent="0.3">
      <c r="A7" s="12">
        <v>227</v>
      </c>
      <c r="B7" s="13">
        <v>2000</v>
      </c>
      <c r="C7" s="14">
        <f t="shared" si="0"/>
        <v>7.2655890000000003</v>
      </c>
      <c r="D7" s="15">
        <v>321</v>
      </c>
      <c r="E7" s="15">
        <f t="shared" si="1"/>
        <v>160.5</v>
      </c>
      <c r="F7" s="15">
        <f t="shared" si="4"/>
        <v>7</v>
      </c>
      <c r="G7" s="14">
        <f t="shared" si="2"/>
        <v>22.928571428571427</v>
      </c>
      <c r="H7" s="23">
        <f t="shared" si="3"/>
        <v>2.2090432035172924E-2</v>
      </c>
    </row>
    <row r="8" spans="1:8" x14ac:dyDescent="0.3">
      <c r="A8" s="12">
        <v>237</v>
      </c>
      <c r="B8" s="13">
        <v>2000</v>
      </c>
      <c r="C8" s="14">
        <f t="shared" si="0"/>
        <v>7.9198289999999991</v>
      </c>
      <c r="D8" s="15">
        <v>345</v>
      </c>
      <c r="E8" s="15">
        <f t="shared" si="1"/>
        <v>172.5</v>
      </c>
      <c r="F8" s="15">
        <f t="shared" si="4"/>
        <v>7</v>
      </c>
      <c r="G8" s="14">
        <f t="shared" si="2"/>
        <v>24.642857142857142</v>
      </c>
      <c r="H8" s="23">
        <f t="shared" si="3"/>
        <v>2.1780773296999217E-2</v>
      </c>
    </row>
    <row r="9" spans="1:8" x14ac:dyDescent="0.3">
      <c r="A9" s="16">
        <v>255</v>
      </c>
      <c r="B9" s="17">
        <v>2000</v>
      </c>
      <c r="C9" s="18">
        <f t="shared" si="0"/>
        <v>9.1685250000000007</v>
      </c>
      <c r="D9" s="19">
        <v>405</v>
      </c>
      <c r="E9" s="19">
        <f t="shared" si="1"/>
        <v>202.5</v>
      </c>
      <c r="F9" s="15">
        <f t="shared" si="4"/>
        <v>7</v>
      </c>
      <c r="G9" s="14">
        <f t="shared" si="2"/>
        <v>28.928571428571427</v>
      </c>
      <c r="H9" s="24">
        <f t="shared" si="3"/>
        <v>2.2086431568872855E-2</v>
      </c>
    </row>
    <row r="10" spans="1:8" x14ac:dyDescent="0.3">
      <c r="A10" s="27" t="s">
        <v>10</v>
      </c>
      <c r="B10" s="28"/>
      <c r="C10" s="28"/>
      <c r="D10" s="28"/>
      <c r="E10" s="28"/>
      <c r="F10" s="28"/>
      <c r="G10" s="28"/>
      <c r="H10" s="29"/>
    </row>
    <row r="11" spans="1:8" x14ac:dyDescent="0.3">
      <c r="A11" s="12">
        <v>171</v>
      </c>
      <c r="B11" s="13">
        <v>2000</v>
      </c>
      <c r="C11" s="14">
        <f t="shared" ref="C11:C17" si="5">A11*A11*0.5*6*0.000000000047*1000000</f>
        <v>4.1229810000000002</v>
      </c>
      <c r="D11" s="15">
        <v>220</v>
      </c>
      <c r="E11" s="15">
        <f t="shared" si="1"/>
        <v>110</v>
      </c>
      <c r="F11" s="15">
        <f t="shared" ref="F11:F69" si="6">$F$3</f>
        <v>7</v>
      </c>
      <c r="G11" s="14">
        <f t="shared" si="2"/>
        <v>15.714285714285714</v>
      </c>
      <c r="H11" s="23">
        <f t="shared" si="3"/>
        <v>2.6679725179427214E-2</v>
      </c>
    </row>
    <row r="12" spans="1:8" x14ac:dyDescent="0.3">
      <c r="A12" s="12">
        <v>181</v>
      </c>
      <c r="B12" s="13">
        <v>2000</v>
      </c>
      <c r="C12" s="14">
        <f t="shared" si="5"/>
        <v>4.6193010000000001</v>
      </c>
      <c r="D12" s="15">
        <v>288</v>
      </c>
      <c r="E12" s="15">
        <f t="shared" si="1"/>
        <v>144</v>
      </c>
      <c r="F12" s="15">
        <f t="shared" si="6"/>
        <v>7</v>
      </c>
      <c r="G12" s="14">
        <f t="shared" si="2"/>
        <v>20.571428571428573</v>
      </c>
      <c r="H12" s="23">
        <f t="shared" si="3"/>
        <v>3.1173547686110949E-2</v>
      </c>
    </row>
    <row r="13" spans="1:8" x14ac:dyDescent="0.3">
      <c r="A13" s="12">
        <v>191</v>
      </c>
      <c r="B13" s="13">
        <v>2000</v>
      </c>
      <c r="C13" s="14">
        <f t="shared" si="5"/>
        <v>5.143821</v>
      </c>
      <c r="D13" s="15">
        <v>331</v>
      </c>
      <c r="E13" s="15">
        <f t="shared" si="1"/>
        <v>165.5</v>
      </c>
      <c r="F13" s="15">
        <f t="shared" si="6"/>
        <v>7</v>
      </c>
      <c r="G13" s="14">
        <f t="shared" si="2"/>
        <v>23.642857142857142</v>
      </c>
      <c r="H13" s="23">
        <f t="shared" si="3"/>
        <v>3.2174525513232285E-2</v>
      </c>
    </row>
    <row r="14" spans="1:8" x14ac:dyDescent="0.3">
      <c r="A14" s="12">
        <v>200.6</v>
      </c>
      <c r="B14" s="13">
        <v>2000</v>
      </c>
      <c r="C14" s="14">
        <f t="shared" si="5"/>
        <v>5.6738907600000008</v>
      </c>
      <c r="D14" s="15">
        <v>376</v>
      </c>
      <c r="E14" s="15">
        <f t="shared" si="1"/>
        <v>188</v>
      </c>
      <c r="F14" s="15">
        <f t="shared" si="6"/>
        <v>7</v>
      </c>
      <c r="G14" s="14">
        <f t="shared" si="2"/>
        <v>26.857142857142858</v>
      </c>
      <c r="H14" s="23">
        <f t="shared" si="3"/>
        <v>3.3134229746784899E-2</v>
      </c>
    </row>
    <row r="15" spans="1:8" x14ac:dyDescent="0.3">
      <c r="A15" s="12">
        <v>216</v>
      </c>
      <c r="B15" s="13">
        <v>2000</v>
      </c>
      <c r="C15" s="14">
        <f t="shared" si="5"/>
        <v>6.5784959999999995</v>
      </c>
      <c r="D15" s="15">
        <v>436</v>
      </c>
      <c r="E15" s="15">
        <f t="shared" si="1"/>
        <v>218</v>
      </c>
      <c r="F15" s="15">
        <f t="shared" si="6"/>
        <v>7</v>
      </c>
      <c r="G15" s="14">
        <f t="shared" si="2"/>
        <v>31.142857142857142</v>
      </c>
      <c r="H15" s="23">
        <f t="shared" si="3"/>
        <v>3.3138273550671768E-2</v>
      </c>
    </row>
    <row r="16" spans="1:8" x14ac:dyDescent="0.3">
      <c r="A16" s="12">
        <v>229</v>
      </c>
      <c r="B16" s="13">
        <v>2000</v>
      </c>
      <c r="C16" s="14">
        <f t="shared" si="5"/>
        <v>7.3941809999999997</v>
      </c>
      <c r="D16" s="15">
        <v>489</v>
      </c>
      <c r="E16" s="15">
        <f t="shared" si="1"/>
        <v>244.5</v>
      </c>
      <c r="F16" s="15">
        <f t="shared" si="6"/>
        <v>7</v>
      </c>
      <c r="G16" s="14">
        <f t="shared" si="2"/>
        <v>34.928571428571431</v>
      </c>
      <c r="H16" s="23">
        <f t="shared" si="3"/>
        <v>3.3066542460889178E-2</v>
      </c>
    </row>
    <row r="17" spans="1:9" x14ac:dyDescent="0.3">
      <c r="A17" s="16">
        <v>251</v>
      </c>
      <c r="B17" s="13">
        <v>2000</v>
      </c>
      <c r="C17" s="18">
        <f t="shared" si="5"/>
        <v>8.8831410000000002</v>
      </c>
      <c r="D17" s="19">
        <v>574</v>
      </c>
      <c r="E17" s="15">
        <f t="shared" si="1"/>
        <v>287</v>
      </c>
      <c r="F17" s="15">
        <f t="shared" si="6"/>
        <v>7</v>
      </c>
      <c r="G17" s="14">
        <f t="shared" si="2"/>
        <v>41</v>
      </c>
      <c r="H17" s="23">
        <f t="shared" si="3"/>
        <v>3.2308391817714027E-2</v>
      </c>
    </row>
    <row r="18" spans="1:9" x14ac:dyDescent="0.3">
      <c r="A18" s="27" t="s">
        <v>11</v>
      </c>
      <c r="B18" s="28"/>
      <c r="C18" s="28"/>
      <c r="D18" s="28"/>
      <c r="E18" s="28"/>
      <c r="F18" s="28"/>
      <c r="G18" s="28"/>
      <c r="H18" s="29"/>
    </row>
    <row r="19" spans="1:9" x14ac:dyDescent="0.3">
      <c r="A19" s="9">
        <v>164</v>
      </c>
      <c r="B19" s="5">
        <v>1000</v>
      </c>
      <c r="C19" s="10">
        <f t="shared" ref="C19:C26" si="7">A19*A19*0.5*6*0.000000000047*1000000</f>
        <v>3.7923359999999997</v>
      </c>
      <c r="D19" s="11">
        <v>41.6</v>
      </c>
      <c r="E19" s="15">
        <f t="shared" si="1"/>
        <v>41.6</v>
      </c>
      <c r="F19" s="11">
        <f t="shared" si="6"/>
        <v>7</v>
      </c>
      <c r="G19" s="14">
        <f t="shared" si="2"/>
        <v>5.9428571428571431</v>
      </c>
      <c r="H19" s="23">
        <f t="shared" si="3"/>
        <v>1.0969492154703593E-2</v>
      </c>
    </row>
    <row r="20" spans="1:9" x14ac:dyDescent="0.3">
      <c r="A20" s="12">
        <v>169.5</v>
      </c>
      <c r="B20" s="13">
        <v>1000</v>
      </c>
      <c r="C20" s="14">
        <f t="shared" si="7"/>
        <v>4.05096525</v>
      </c>
      <c r="D20" s="15">
        <v>44.6</v>
      </c>
      <c r="E20" s="15">
        <f t="shared" si="1"/>
        <v>44.6</v>
      </c>
      <c r="F20" s="15">
        <f t="shared" si="6"/>
        <v>7</v>
      </c>
      <c r="G20" s="14">
        <f t="shared" si="2"/>
        <v>6.3714285714285719</v>
      </c>
      <c r="H20" s="23">
        <f t="shared" si="3"/>
        <v>1.1009721695341623E-2</v>
      </c>
    </row>
    <row r="21" spans="1:9" x14ac:dyDescent="0.3">
      <c r="A21" s="12">
        <v>181.3</v>
      </c>
      <c r="B21" s="13">
        <v>1000</v>
      </c>
      <c r="C21" s="14">
        <f t="shared" si="7"/>
        <v>4.6346262899999999</v>
      </c>
      <c r="D21" s="15">
        <v>49.5</v>
      </c>
      <c r="E21" s="15">
        <f t="shared" si="1"/>
        <v>49.5</v>
      </c>
      <c r="F21" s="15">
        <f t="shared" si="6"/>
        <v>7</v>
      </c>
      <c r="G21" s="14">
        <f t="shared" si="2"/>
        <v>7.0714285714285712</v>
      </c>
      <c r="H21" s="23">
        <f t="shared" si="3"/>
        <v>1.0680472793848499E-2</v>
      </c>
    </row>
    <row r="22" spans="1:9" x14ac:dyDescent="0.3">
      <c r="A22" s="12">
        <v>191.3</v>
      </c>
      <c r="B22" s="13">
        <v>1000</v>
      </c>
      <c r="C22" s="14">
        <f t="shared" si="7"/>
        <v>5.1599922899999999</v>
      </c>
      <c r="D22" s="15">
        <v>53.3</v>
      </c>
      <c r="E22" s="15">
        <f t="shared" si="1"/>
        <v>53.3</v>
      </c>
      <c r="F22" s="15">
        <f t="shared" si="6"/>
        <v>7</v>
      </c>
      <c r="G22" s="14">
        <f t="shared" si="2"/>
        <v>7.6142857142857139</v>
      </c>
      <c r="H22" s="23">
        <f t="shared" si="3"/>
        <v>1.0329472798495208E-2</v>
      </c>
    </row>
    <row r="23" spans="1:9" x14ac:dyDescent="0.3">
      <c r="A23" s="12">
        <v>201.4</v>
      </c>
      <c r="B23" s="13">
        <v>1000</v>
      </c>
      <c r="C23" s="14">
        <f t="shared" si="7"/>
        <v>5.71923636</v>
      </c>
      <c r="D23" s="15">
        <v>56.3</v>
      </c>
      <c r="E23" s="15">
        <f t="shared" si="1"/>
        <v>56.3</v>
      </c>
      <c r="F23" s="15">
        <f t="shared" si="6"/>
        <v>7</v>
      </c>
      <c r="G23" s="14">
        <f t="shared" si="2"/>
        <v>8.0428571428571427</v>
      </c>
      <c r="H23" s="23">
        <f t="shared" si="3"/>
        <v>9.843971547278384E-3</v>
      </c>
    </row>
    <row r="24" spans="1:9" x14ac:dyDescent="0.3">
      <c r="A24" s="12">
        <v>220.9</v>
      </c>
      <c r="B24" s="13">
        <v>1000</v>
      </c>
      <c r="C24" s="14">
        <f t="shared" si="7"/>
        <v>6.8803502100000005</v>
      </c>
      <c r="D24" s="15">
        <v>62.2</v>
      </c>
      <c r="E24" s="15">
        <f t="shared" si="1"/>
        <v>62.2</v>
      </c>
      <c r="F24" s="15">
        <f t="shared" si="6"/>
        <v>7</v>
      </c>
      <c r="G24" s="14">
        <f t="shared" si="2"/>
        <v>8.8857142857142861</v>
      </c>
      <c r="H24" s="23">
        <f t="shared" si="3"/>
        <v>9.0402375026779336E-3</v>
      </c>
    </row>
    <row r="25" spans="1:9" x14ac:dyDescent="0.3">
      <c r="A25" s="12">
        <v>240</v>
      </c>
      <c r="B25" s="13">
        <v>1000</v>
      </c>
      <c r="C25" s="14">
        <f t="shared" si="7"/>
        <v>8.1216000000000008</v>
      </c>
      <c r="D25" s="15">
        <v>68.5</v>
      </c>
      <c r="E25" s="15">
        <f t="shared" si="1"/>
        <v>68.5</v>
      </c>
      <c r="F25" s="15">
        <f t="shared" si="6"/>
        <v>7</v>
      </c>
      <c r="G25" s="14">
        <f t="shared" si="2"/>
        <v>9.7857142857142865</v>
      </c>
      <c r="H25" s="23">
        <f t="shared" si="3"/>
        <v>8.4342986603624902E-3</v>
      </c>
    </row>
    <row r="26" spans="1:9" x14ac:dyDescent="0.3">
      <c r="A26" s="16">
        <v>257.5</v>
      </c>
      <c r="B26" s="17">
        <v>1000</v>
      </c>
      <c r="C26" s="18">
        <f t="shared" si="7"/>
        <v>9.3491812500000009</v>
      </c>
      <c r="D26" s="19">
        <v>74.400000000000006</v>
      </c>
      <c r="E26" s="15">
        <f t="shared" si="1"/>
        <v>74.400000000000006</v>
      </c>
      <c r="F26" s="19">
        <f t="shared" si="6"/>
        <v>7</v>
      </c>
      <c r="G26" s="14">
        <f t="shared" si="2"/>
        <v>10.62857142857143</v>
      </c>
      <c r="H26" s="23">
        <f t="shared" si="3"/>
        <v>7.957916100941995E-3</v>
      </c>
    </row>
    <row r="27" spans="1:9" x14ac:dyDescent="0.3">
      <c r="A27" s="27" t="s">
        <v>12</v>
      </c>
      <c r="B27" s="28"/>
      <c r="C27" s="28"/>
      <c r="D27" s="28"/>
      <c r="E27" s="28"/>
      <c r="F27" s="28"/>
      <c r="G27" s="28"/>
      <c r="H27" s="29"/>
    </row>
    <row r="28" spans="1:9" x14ac:dyDescent="0.3">
      <c r="A28" s="9">
        <v>165</v>
      </c>
      <c r="B28" s="5">
        <v>1000</v>
      </c>
      <c r="C28" s="10">
        <f t="shared" ref="C28:C39" si="8">A28*A28*0.5*6*0.000000000047*1000000</f>
        <v>3.8387250000000002</v>
      </c>
      <c r="D28" s="11">
        <v>38</v>
      </c>
      <c r="E28" s="11">
        <f t="shared" si="1"/>
        <v>38</v>
      </c>
      <c r="F28" s="11">
        <f t="shared" si="6"/>
        <v>7</v>
      </c>
      <c r="G28" s="10">
        <f t="shared" si="2"/>
        <v>5.4285714285714288</v>
      </c>
      <c r="H28" s="22">
        <f t="shared" si="3"/>
        <v>9.8991201505708275E-3</v>
      </c>
      <c r="I28" s="1" t="s">
        <v>4</v>
      </c>
    </row>
    <row r="29" spans="1:9" x14ac:dyDescent="0.3">
      <c r="A29" s="12">
        <v>167.7</v>
      </c>
      <c r="B29" s="13">
        <v>1000</v>
      </c>
      <c r="C29" s="14">
        <f t="shared" si="8"/>
        <v>3.96538389</v>
      </c>
      <c r="D29" s="15">
        <v>41.5</v>
      </c>
      <c r="E29" s="15">
        <f t="shared" si="1"/>
        <v>41.5</v>
      </c>
      <c r="F29" s="15">
        <f t="shared" si="6"/>
        <v>7</v>
      </c>
      <c r="G29" s="14">
        <f t="shared" si="2"/>
        <v>5.9285714285714288</v>
      </c>
      <c r="H29" s="23">
        <f t="shared" si="3"/>
        <v>1.0465569324739452E-2</v>
      </c>
      <c r="I29" s="1" t="s">
        <v>5</v>
      </c>
    </row>
    <row r="30" spans="1:9" x14ac:dyDescent="0.3">
      <c r="A30" s="12">
        <v>170</v>
      </c>
      <c r="B30" s="13">
        <v>1000</v>
      </c>
      <c r="C30" s="14">
        <f t="shared" si="8"/>
        <v>4.0748999999999995</v>
      </c>
      <c r="D30" s="15">
        <v>170.1</v>
      </c>
      <c r="E30" s="15">
        <f t="shared" si="1"/>
        <v>170.1</v>
      </c>
      <c r="F30" s="15">
        <f t="shared" si="6"/>
        <v>7</v>
      </c>
      <c r="G30" s="14">
        <f t="shared" si="2"/>
        <v>24.3</v>
      </c>
      <c r="H30" s="23">
        <f t="shared" si="3"/>
        <v>4.17433556651697E-2</v>
      </c>
    </row>
    <row r="31" spans="1:9" x14ac:dyDescent="0.3">
      <c r="A31" s="12">
        <v>181.5</v>
      </c>
      <c r="B31" s="13">
        <v>1000</v>
      </c>
      <c r="C31" s="14">
        <f t="shared" si="8"/>
        <v>4.6448572500000003</v>
      </c>
      <c r="D31" s="15">
        <v>307</v>
      </c>
      <c r="E31" s="15">
        <f t="shared" si="1"/>
        <v>307</v>
      </c>
      <c r="F31" s="15">
        <f t="shared" si="6"/>
        <v>7</v>
      </c>
      <c r="G31" s="14">
        <f t="shared" si="2"/>
        <v>43.857142857142854</v>
      </c>
      <c r="H31" s="23">
        <f t="shared" si="3"/>
        <v>6.6094603876147101E-2</v>
      </c>
    </row>
    <row r="32" spans="1:9" x14ac:dyDescent="0.3">
      <c r="A32" s="12">
        <v>189.3</v>
      </c>
      <c r="B32" s="13">
        <v>1000</v>
      </c>
      <c r="C32" s="14">
        <f t="shared" si="8"/>
        <v>5.0526630900000002</v>
      </c>
      <c r="D32" s="15">
        <v>346</v>
      </c>
      <c r="E32" s="15">
        <f t="shared" si="1"/>
        <v>346</v>
      </c>
      <c r="F32" s="15">
        <f t="shared" si="6"/>
        <v>7</v>
      </c>
      <c r="G32" s="14">
        <f t="shared" si="2"/>
        <v>49.428571428571431</v>
      </c>
      <c r="H32" s="23">
        <f t="shared" si="3"/>
        <v>6.847873959472725E-2</v>
      </c>
    </row>
    <row r="33" spans="1:9" x14ac:dyDescent="0.3">
      <c r="A33" s="12">
        <v>206.4</v>
      </c>
      <c r="B33" s="13">
        <v>1000</v>
      </c>
      <c r="C33" s="14">
        <f t="shared" si="8"/>
        <v>6.0067353599999995</v>
      </c>
      <c r="D33" s="15">
        <v>422</v>
      </c>
      <c r="E33" s="15">
        <f t="shared" si="1"/>
        <v>422</v>
      </c>
      <c r="F33" s="15">
        <f t="shared" si="6"/>
        <v>7</v>
      </c>
      <c r="G33" s="14">
        <f t="shared" si="2"/>
        <v>60.285714285714285</v>
      </c>
      <c r="H33" s="23">
        <f t="shared" si="3"/>
        <v>7.0254468477199572E-2</v>
      </c>
    </row>
    <row r="34" spans="1:9" x14ac:dyDescent="0.3">
      <c r="A34" s="12">
        <v>219</v>
      </c>
      <c r="B34" s="13">
        <v>1000</v>
      </c>
      <c r="C34" s="14">
        <f t="shared" si="8"/>
        <v>6.7625010000000003</v>
      </c>
      <c r="D34" s="15">
        <v>479</v>
      </c>
      <c r="E34" s="15">
        <f t="shared" si="1"/>
        <v>479</v>
      </c>
      <c r="F34" s="15">
        <f t="shared" si="6"/>
        <v>7</v>
      </c>
      <c r="G34" s="14">
        <f t="shared" si="2"/>
        <v>68.428571428571431</v>
      </c>
      <c r="H34" s="23">
        <f t="shared" si="3"/>
        <v>7.0831782501769677E-2</v>
      </c>
    </row>
    <row r="35" spans="1:9" x14ac:dyDescent="0.3">
      <c r="A35" s="12">
        <v>230</v>
      </c>
      <c r="B35" s="13">
        <v>1000</v>
      </c>
      <c r="C35" s="14">
        <f t="shared" si="8"/>
        <v>7.4588999999999999</v>
      </c>
      <c r="D35" s="15">
        <v>528</v>
      </c>
      <c r="E35" s="15">
        <f t="shared" si="1"/>
        <v>528</v>
      </c>
      <c r="F35" s="15">
        <f t="shared" si="6"/>
        <v>7</v>
      </c>
      <c r="G35" s="14">
        <f t="shared" si="2"/>
        <v>75.428571428571431</v>
      </c>
      <c r="H35" s="23">
        <f t="shared" si="3"/>
        <v>7.0787917789486385E-2</v>
      </c>
    </row>
    <row r="36" spans="1:9" x14ac:dyDescent="0.3">
      <c r="A36" s="12">
        <v>245</v>
      </c>
      <c r="B36" s="13">
        <v>1000</v>
      </c>
      <c r="C36" s="14">
        <f t="shared" si="8"/>
        <v>8.4635249999999989</v>
      </c>
      <c r="D36" s="15">
        <v>601</v>
      </c>
      <c r="E36" s="15">
        <f t="shared" si="1"/>
        <v>601</v>
      </c>
      <c r="F36" s="15">
        <f t="shared" si="6"/>
        <v>7</v>
      </c>
      <c r="G36" s="14">
        <f t="shared" si="2"/>
        <v>85.857142857142861</v>
      </c>
      <c r="H36" s="23">
        <f t="shared" si="3"/>
        <v>7.1010601374722718E-2</v>
      </c>
    </row>
    <row r="37" spans="1:9" x14ac:dyDescent="0.3">
      <c r="A37" s="12">
        <v>269</v>
      </c>
      <c r="B37" s="13">
        <v>1000</v>
      </c>
      <c r="C37" s="14">
        <f t="shared" si="8"/>
        <v>10.202900999999999</v>
      </c>
      <c r="D37" s="15">
        <v>712</v>
      </c>
      <c r="E37" s="15">
        <f t="shared" si="1"/>
        <v>712</v>
      </c>
      <c r="F37" s="15">
        <f t="shared" si="6"/>
        <v>7</v>
      </c>
      <c r="G37" s="14">
        <f t="shared" si="2"/>
        <v>101.71428571428571</v>
      </c>
      <c r="H37" s="23">
        <f t="shared" si="3"/>
        <v>6.9784074156948109E-2</v>
      </c>
    </row>
    <row r="38" spans="1:9" x14ac:dyDescent="0.3">
      <c r="A38" s="12">
        <v>292</v>
      </c>
      <c r="B38" s="13">
        <v>1000</v>
      </c>
      <c r="C38" s="14">
        <f t="shared" si="8"/>
        <v>12.022224000000001</v>
      </c>
      <c r="D38" s="15">
        <v>805</v>
      </c>
      <c r="E38" s="15">
        <f t="shared" si="1"/>
        <v>805</v>
      </c>
      <c r="F38" s="15">
        <f t="shared" si="6"/>
        <v>7</v>
      </c>
      <c r="G38" s="14">
        <f t="shared" si="2"/>
        <v>115</v>
      </c>
      <c r="H38" s="23">
        <f t="shared" si="3"/>
        <v>6.6959324664055506E-2</v>
      </c>
    </row>
    <row r="39" spans="1:9" x14ac:dyDescent="0.3">
      <c r="A39" s="16">
        <v>304.60000000000002</v>
      </c>
      <c r="B39" s="17">
        <v>1000</v>
      </c>
      <c r="C39" s="18">
        <f t="shared" si="8"/>
        <v>13.08214356</v>
      </c>
      <c r="D39" s="19">
        <v>855</v>
      </c>
      <c r="E39" s="19">
        <f t="shared" si="1"/>
        <v>855</v>
      </c>
      <c r="F39" s="19">
        <f t="shared" si="6"/>
        <v>7</v>
      </c>
      <c r="G39" s="18">
        <f t="shared" si="2"/>
        <v>122.14285714285714</v>
      </c>
      <c r="H39" s="24">
        <f t="shared" si="3"/>
        <v>6.5356261844905172E-2</v>
      </c>
    </row>
    <row r="40" spans="1:9" x14ac:dyDescent="0.3">
      <c r="A40" s="27" t="s">
        <v>14</v>
      </c>
      <c r="B40" s="28"/>
      <c r="C40" s="28"/>
      <c r="D40" s="28"/>
      <c r="E40" s="28"/>
      <c r="F40" s="28"/>
      <c r="G40" s="28"/>
      <c r="H40" s="29"/>
    </row>
    <row r="41" spans="1:9" x14ac:dyDescent="0.3">
      <c r="A41" s="4">
        <v>162</v>
      </c>
      <c r="B41" s="5">
        <v>1000</v>
      </c>
      <c r="C41" s="10">
        <f t="shared" ref="C41:C49" si="9">A41*A41*0.5*6*0.000000000047*1000000</f>
        <v>3.7004039999999998</v>
      </c>
      <c r="D41" s="5">
        <v>61</v>
      </c>
      <c r="E41" s="11">
        <f t="shared" si="1"/>
        <v>61</v>
      </c>
      <c r="F41" s="11">
        <f t="shared" si="6"/>
        <v>7</v>
      </c>
      <c r="G41" s="10">
        <f t="shared" si="2"/>
        <v>8.7142857142857135</v>
      </c>
      <c r="H41" s="22">
        <f t="shared" si="3"/>
        <v>1.6484686536929482E-2</v>
      </c>
      <c r="I41" s="2" t="s">
        <v>15</v>
      </c>
    </row>
    <row r="42" spans="1:9" x14ac:dyDescent="0.3">
      <c r="A42" s="25">
        <v>171</v>
      </c>
      <c r="B42" s="13">
        <v>1000</v>
      </c>
      <c r="C42" s="14">
        <f t="shared" si="9"/>
        <v>4.1229810000000002</v>
      </c>
      <c r="D42" s="13">
        <v>75</v>
      </c>
      <c r="E42" s="15">
        <f t="shared" si="1"/>
        <v>75</v>
      </c>
      <c r="F42" s="15">
        <f t="shared" si="6"/>
        <v>7</v>
      </c>
      <c r="G42" s="14">
        <f t="shared" si="2"/>
        <v>10.714285714285714</v>
      </c>
      <c r="H42" s="23">
        <f t="shared" si="3"/>
        <v>1.8190721713245827E-2</v>
      </c>
      <c r="I42" s="2" t="s">
        <v>16</v>
      </c>
    </row>
    <row r="43" spans="1:9" x14ac:dyDescent="0.3">
      <c r="A43" s="25">
        <v>181</v>
      </c>
      <c r="B43" s="13">
        <v>1000</v>
      </c>
      <c r="C43" s="14">
        <f t="shared" si="9"/>
        <v>4.6193010000000001</v>
      </c>
      <c r="D43" s="13">
        <v>296</v>
      </c>
      <c r="E43" s="15">
        <f t="shared" si="1"/>
        <v>296</v>
      </c>
      <c r="F43" s="15">
        <f t="shared" si="6"/>
        <v>7</v>
      </c>
      <c r="G43" s="14">
        <f t="shared" si="2"/>
        <v>42.285714285714285</v>
      </c>
      <c r="H43" s="23">
        <f t="shared" si="3"/>
        <v>6.4078959132561397E-2</v>
      </c>
      <c r="I43" s="2" t="s">
        <v>17</v>
      </c>
    </row>
    <row r="44" spans="1:9" x14ac:dyDescent="0.3">
      <c r="A44" s="25">
        <v>190</v>
      </c>
      <c r="B44" s="13">
        <v>1000</v>
      </c>
      <c r="C44" s="14">
        <f t="shared" si="9"/>
        <v>5.0900999999999996</v>
      </c>
      <c r="D44" s="13">
        <v>397</v>
      </c>
      <c r="E44" s="15">
        <f t="shared" si="1"/>
        <v>397</v>
      </c>
      <c r="F44" s="15">
        <f t="shared" si="6"/>
        <v>7</v>
      </c>
      <c r="G44" s="14">
        <f t="shared" si="2"/>
        <v>56.714285714285715</v>
      </c>
      <c r="H44" s="23">
        <f t="shared" si="3"/>
        <v>7.7994538417712825E-2</v>
      </c>
    </row>
    <row r="45" spans="1:9" x14ac:dyDescent="0.3">
      <c r="A45" s="25">
        <v>201</v>
      </c>
      <c r="B45" s="13">
        <v>1000</v>
      </c>
      <c r="C45" s="14">
        <f t="shared" si="9"/>
        <v>5.6965409999999999</v>
      </c>
      <c r="D45" s="13">
        <v>457</v>
      </c>
      <c r="E45" s="15">
        <f t="shared" si="1"/>
        <v>457</v>
      </c>
      <c r="F45" s="15">
        <f t="shared" si="6"/>
        <v>7</v>
      </c>
      <c r="G45" s="14">
        <f t="shared" si="2"/>
        <v>65.285714285714292</v>
      </c>
      <c r="H45" s="23">
        <f t="shared" si="3"/>
        <v>8.0224121971561341E-2</v>
      </c>
    </row>
    <row r="46" spans="1:9" x14ac:dyDescent="0.3">
      <c r="A46" s="25">
        <v>212</v>
      </c>
      <c r="B46" s="13">
        <v>1000</v>
      </c>
      <c r="C46" s="14">
        <f t="shared" si="9"/>
        <v>6.3371040000000001</v>
      </c>
      <c r="D46" s="13">
        <v>510</v>
      </c>
      <c r="E46" s="15">
        <f t="shared" si="1"/>
        <v>510</v>
      </c>
      <c r="F46" s="15">
        <f t="shared" si="6"/>
        <v>7</v>
      </c>
      <c r="G46" s="14">
        <f t="shared" si="2"/>
        <v>72.857142857142861</v>
      </c>
      <c r="H46" s="23">
        <f t="shared" si="3"/>
        <v>8.0478401490649359E-2</v>
      </c>
    </row>
    <row r="47" spans="1:9" x14ac:dyDescent="0.3">
      <c r="A47" s="25">
        <v>226</v>
      </c>
      <c r="B47" s="13">
        <v>1000</v>
      </c>
      <c r="C47" s="14">
        <f t="shared" si="9"/>
        <v>7.2017159999999993</v>
      </c>
      <c r="D47" s="13">
        <v>575</v>
      </c>
      <c r="E47" s="15">
        <f t="shared" si="1"/>
        <v>575</v>
      </c>
      <c r="F47" s="15">
        <f t="shared" si="6"/>
        <v>7</v>
      </c>
      <c r="G47" s="14">
        <f t="shared" si="2"/>
        <v>82.142857142857139</v>
      </c>
      <c r="H47" s="23">
        <f t="shared" si="3"/>
        <v>7.9842082081548346E-2</v>
      </c>
    </row>
    <row r="48" spans="1:9" x14ac:dyDescent="0.3">
      <c r="A48" s="25">
        <v>234</v>
      </c>
      <c r="B48" s="13">
        <v>1000</v>
      </c>
      <c r="C48" s="14">
        <f t="shared" si="9"/>
        <v>7.7205959999999996</v>
      </c>
      <c r="D48" s="13">
        <v>608</v>
      </c>
      <c r="E48" s="15">
        <f t="shared" si="1"/>
        <v>608</v>
      </c>
      <c r="F48" s="15">
        <f t="shared" si="6"/>
        <v>7</v>
      </c>
      <c r="G48" s="14">
        <f t="shared" si="2"/>
        <v>86.857142857142861</v>
      </c>
      <c r="H48" s="23">
        <f t="shared" si="3"/>
        <v>7.8750396990076937E-2</v>
      </c>
    </row>
    <row r="49" spans="1:8" x14ac:dyDescent="0.3">
      <c r="A49" s="26">
        <v>251</v>
      </c>
      <c r="B49" s="17">
        <v>1000</v>
      </c>
      <c r="C49" s="18">
        <f t="shared" si="9"/>
        <v>8.8831410000000002</v>
      </c>
      <c r="D49" s="17">
        <v>680</v>
      </c>
      <c r="E49" s="19">
        <f t="shared" si="1"/>
        <v>680</v>
      </c>
      <c r="F49" s="19">
        <f t="shared" si="6"/>
        <v>7</v>
      </c>
      <c r="G49" s="18">
        <f t="shared" si="2"/>
        <v>97.142857142857139</v>
      </c>
      <c r="H49" s="24">
        <f t="shared" si="3"/>
        <v>7.6549499777162161E-2</v>
      </c>
    </row>
    <row r="50" spans="1:8" x14ac:dyDescent="0.3">
      <c r="A50" s="27" t="s">
        <v>18</v>
      </c>
      <c r="B50" s="28"/>
      <c r="C50" s="28"/>
      <c r="D50" s="28"/>
      <c r="E50" s="28"/>
      <c r="F50" s="28"/>
      <c r="G50" s="28"/>
      <c r="H50" s="29"/>
    </row>
    <row r="51" spans="1:8" x14ac:dyDescent="0.3">
      <c r="A51" s="4">
        <v>149</v>
      </c>
      <c r="B51" s="5">
        <v>1000</v>
      </c>
      <c r="C51" s="10">
        <f t="shared" ref="C51:C59" si="10">A51*A51*0.5*6*0.000000000047*1000000</f>
        <v>3.130341</v>
      </c>
      <c r="D51" s="5">
        <v>227</v>
      </c>
      <c r="E51" s="11">
        <f t="shared" ref="E51:E59" si="11">D51/(B51/1000)</f>
        <v>227</v>
      </c>
      <c r="F51" s="11">
        <f t="shared" si="6"/>
        <v>7</v>
      </c>
      <c r="G51" s="10">
        <f t="shared" ref="G51:G59" si="12">E51/$F$3</f>
        <v>32.428571428571431</v>
      </c>
      <c r="H51" s="22">
        <f t="shared" ref="H51:H59" si="13">(E51/1000)/C51</f>
        <v>7.2516061349226807E-2</v>
      </c>
    </row>
    <row r="52" spans="1:8" x14ac:dyDescent="0.3">
      <c r="A52" s="25">
        <v>169</v>
      </c>
      <c r="B52" s="13">
        <v>1000</v>
      </c>
      <c r="C52" s="14">
        <f t="shared" si="10"/>
        <v>4.027101</v>
      </c>
      <c r="D52" s="13">
        <v>264</v>
      </c>
      <c r="E52" s="15">
        <f t="shared" si="11"/>
        <v>264</v>
      </c>
      <c r="F52" s="15">
        <f t="shared" si="6"/>
        <v>7</v>
      </c>
      <c r="G52" s="14">
        <f t="shared" si="12"/>
        <v>37.714285714285715</v>
      </c>
      <c r="H52" s="23">
        <f t="shared" si="13"/>
        <v>6.5555842776230347E-2</v>
      </c>
    </row>
    <row r="53" spans="1:8" x14ac:dyDescent="0.3">
      <c r="A53" s="25">
        <v>181</v>
      </c>
      <c r="B53" s="13">
        <v>1000</v>
      </c>
      <c r="C53" s="14">
        <f t="shared" si="10"/>
        <v>4.6193010000000001</v>
      </c>
      <c r="D53" s="13">
        <v>285</v>
      </c>
      <c r="E53" s="15">
        <f t="shared" si="11"/>
        <v>285</v>
      </c>
      <c r="F53" s="15">
        <f t="shared" si="6"/>
        <v>7</v>
      </c>
      <c r="G53" s="14">
        <f t="shared" si="12"/>
        <v>40.714285714285715</v>
      </c>
      <c r="H53" s="23">
        <f t="shared" si="13"/>
        <v>6.169764646209458E-2</v>
      </c>
    </row>
    <row r="54" spans="1:8" x14ac:dyDescent="0.3">
      <c r="A54" s="25">
        <v>205</v>
      </c>
      <c r="B54" s="13">
        <v>1000</v>
      </c>
      <c r="C54" s="14">
        <f t="shared" si="10"/>
        <v>5.9255250000000004</v>
      </c>
      <c r="D54" s="13">
        <v>322</v>
      </c>
      <c r="E54" s="15">
        <f t="shared" si="11"/>
        <v>322</v>
      </c>
      <c r="F54" s="15">
        <f t="shared" si="6"/>
        <v>7</v>
      </c>
      <c r="G54" s="14">
        <f t="shared" si="12"/>
        <v>46</v>
      </c>
      <c r="H54" s="23">
        <f t="shared" si="13"/>
        <v>5.4341176520223945E-2</v>
      </c>
    </row>
    <row r="55" spans="1:8" x14ac:dyDescent="0.3">
      <c r="A55" s="25">
        <v>227</v>
      </c>
      <c r="B55" s="13">
        <v>1000</v>
      </c>
      <c r="C55" s="14">
        <f t="shared" si="10"/>
        <v>7.2655890000000003</v>
      </c>
      <c r="D55" s="13">
        <v>349</v>
      </c>
      <c r="E55" s="15">
        <f t="shared" si="11"/>
        <v>349</v>
      </c>
      <c r="F55" s="15">
        <f t="shared" si="6"/>
        <v>7</v>
      </c>
      <c r="G55" s="14">
        <f t="shared" si="12"/>
        <v>49.857142857142854</v>
      </c>
      <c r="H55" s="23">
        <f t="shared" si="13"/>
        <v>4.8034646606076939E-2</v>
      </c>
    </row>
    <row r="56" spans="1:8" x14ac:dyDescent="0.3">
      <c r="A56" s="25">
        <v>252</v>
      </c>
      <c r="B56" s="13">
        <v>1000</v>
      </c>
      <c r="C56" s="14">
        <f t="shared" si="10"/>
        <v>8.9540639999999989</v>
      </c>
      <c r="D56" s="13">
        <v>387</v>
      </c>
      <c r="E56" s="15">
        <f t="shared" si="11"/>
        <v>387</v>
      </c>
      <c r="F56" s="15">
        <f t="shared" si="6"/>
        <v>7</v>
      </c>
      <c r="G56" s="14">
        <f t="shared" si="12"/>
        <v>55.285714285714285</v>
      </c>
      <c r="H56" s="23">
        <f t="shared" si="13"/>
        <v>4.3220597931844136E-2</v>
      </c>
    </row>
    <row r="57" spans="1:8" x14ac:dyDescent="0.3">
      <c r="A57" s="25">
        <v>271</v>
      </c>
      <c r="B57" s="13">
        <v>1000</v>
      </c>
      <c r="C57" s="14">
        <f t="shared" si="10"/>
        <v>10.355181</v>
      </c>
      <c r="D57" s="13">
        <v>420</v>
      </c>
      <c r="E57" s="15">
        <f t="shared" si="11"/>
        <v>420</v>
      </c>
      <c r="F57" s="15">
        <f t="shared" si="6"/>
        <v>7</v>
      </c>
      <c r="G57" s="14">
        <f t="shared" si="12"/>
        <v>60</v>
      </c>
      <c r="H57" s="23">
        <f t="shared" si="13"/>
        <v>4.0559406928763482E-2</v>
      </c>
    </row>
    <row r="58" spans="1:8" x14ac:dyDescent="0.3">
      <c r="A58" s="25">
        <v>292</v>
      </c>
      <c r="B58" s="13">
        <v>1000</v>
      </c>
      <c r="C58" s="14">
        <f t="shared" si="10"/>
        <v>12.022224000000001</v>
      </c>
      <c r="D58" s="13">
        <v>455</v>
      </c>
      <c r="E58" s="15">
        <f t="shared" si="11"/>
        <v>455</v>
      </c>
      <c r="F58" s="15">
        <f t="shared" si="6"/>
        <v>7</v>
      </c>
      <c r="G58" s="14">
        <f t="shared" si="12"/>
        <v>65</v>
      </c>
      <c r="H58" s="23">
        <f t="shared" si="13"/>
        <v>3.7846574810118327E-2</v>
      </c>
    </row>
    <row r="59" spans="1:8" x14ac:dyDescent="0.3">
      <c r="A59" s="26">
        <v>312</v>
      </c>
      <c r="B59" s="17">
        <v>1000</v>
      </c>
      <c r="C59" s="18">
        <f t="shared" si="10"/>
        <v>13.725504000000001</v>
      </c>
      <c r="D59" s="17">
        <v>482</v>
      </c>
      <c r="E59" s="19">
        <f t="shared" si="11"/>
        <v>482</v>
      </c>
      <c r="F59" s="19">
        <f t="shared" si="6"/>
        <v>7</v>
      </c>
      <c r="G59" s="18">
        <f t="shared" si="12"/>
        <v>68.857142857142861</v>
      </c>
      <c r="H59" s="24">
        <f t="shared" si="13"/>
        <v>3.511710753936613E-2</v>
      </c>
    </row>
    <row r="60" spans="1:8" x14ac:dyDescent="0.3">
      <c r="A60" s="27" t="s">
        <v>19</v>
      </c>
      <c r="B60" s="28"/>
      <c r="C60" s="28"/>
      <c r="D60" s="28"/>
      <c r="E60" s="28"/>
      <c r="F60" s="28"/>
      <c r="G60" s="28"/>
      <c r="H60" s="29"/>
    </row>
    <row r="61" spans="1:8" x14ac:dyDescent="0.3">
      <c r="A61" s="4">
        <v>145</v>
      </c>
      <c r="B61" s="5">
        <v>1000</v>
      </c>
      <c r="C61" s="10">
        <f t="shared" ref="C61:C69" si="14">A61*A61*0.5*6*0.000000000047*1000000</f>
        <v>2.9645249999999996</v>
      </c>
      <c r="D61" s="5">
        <v>215</v>
      </c>
      <c r="E61" s="11">
        <f t="shared" ref="E61:E69" si="15">D61/(B61/1000)</f>
        <v>215</v>
      </c>
      <c r="F61" s="11">
        <f t="shared" si="6"/>
        <v>7</v>
      </c>
      <c r="G61" s="10">
        <f t="shared" ref="G61:G69" si="16">E61/$F$3</f>
        <v>30.714285714285715</v>
      </c>
      <c r="H61" s="22">
        <f t="shared" ref="H61:H69" si="17">(E61/1000)/C61</f>
        <v>7.2524266113458316E-2</v>
      </c>
    </row>
    <row r="62" spans="1:8" x14ac:dyDescent="0.3">
      <c r="A62" s="25">
        <v>169</v>
      </c>
      <c r="B62" s="13">
        <v>1000</v>
      </c>
      <c r="C62" s="14">
        <f t="shared" si="14"/>
        <v>4.027101</v>
      </c>
      <c r="D62" s="13">
        <v>260</v>
      </c>
      <c r="E62" s="15">
        <f t="shared" si="15"/>
        <v>260</v>
      </c>
      <c r="F62" s="15">
        <f t="shared" si="6"/>
        <v>7</v>
      </c>
      <c r="G62" s="14">
        <f t="shared" si="16"/>
        <v>37.142857142857146</v>
      </c>
      <c r="H62" s="23">
        <f t="shared" si="17"/>
        <v>6.4562572431135945E-2</v>
      </c>
    </row>
    <row r="63" spans="1:8" x14ac:dyDescent="0.3">
      <c r="A63" s="25">
        <v>187</v>
      </c>
      <c r="B63" s="13">
        <v>1000</v>
      </c>
      <c r="C63" s="14">
        <f t="shared" si="14"/>
        <v>4.9306289999999997</v>
      </c>
      <c r="D63" s="13">
        <v>290</v>
      </c>
      <c r="E63" s="15">
        <f t="shared" si="15"/>
        <v>290</v>
      </c>
      <c r="F63" s="15">
        <f t="shared" si="6"/>
        <v>7</v>
      </c>
      <c r="G63" s="14">
        <f t="shared" si="16"/>
        <v>41.428571428571431</v>
      </c>
      <c r="H63" s="23">
        <f t="shared" si="17"/>
        <v>5.881602529819218E-2</v>
      </c>
    </row>
    <row r="64" spans="1:8" x14ac:dyDescent="0.3">
      <c r="A64" s="25">
        <v>206</v>
      </c>
      <c r="B64" s="13">
        <v>1000</v>
      </c>
      <c r="C64" s="14">
        <f t="shared" si="14"/>
        <v>5.9834759999999996</v>
      </c>
      <c r="D64" s="13">
        <v>319</v>
      </c>
      <c r="E64" s="15">
        <f t="shared" si="15"/>
        <v>319</v>
      </c>
      <c r="F64" s="15">
        <f t="shared" si="6"/>
        <v>7</v>
      </c>
      <c r="G64" s="14">
        <f t="shared" si="16"/>
        <v>45.571428571428569</v>
      </c>
      <c r="H64" s="23">
        <f t="shared" si="17"/>
        <v>5.3313492023699942E-2</v>
      </c>
    </row>
    <row r="65" spans="1:8" x14ac:dyDescent="0.3">
      <c r="A65" s="25">
        <v>222</v>
      </c>
      <c r="B65" s="13">
        <v>1000</v>
      </c>
      <c r="C65" s="14">
        <f t="shared" si="14"/>
        <v>6.9490440000000007</v>
      </c>
      <c r="D65" s="13">
        <v>339</v>
      </c>
      <c r="E65" s="15">
        <f t="shared" si="15"/>
        <v>339</v>
      </c>
      <c r="F65" s="15">
        <f t="shared" si="6"/>
        <v>7</v>
      </c>
      <c r="G65" s="14">
        <f t="shared" si="16"/>
        <v>48.428571428571431</v>
      </c>
      <c r="H65" s="23">
        <f t="shared" si="17"/>
        <v>4.8783688806690532E-2</v>
      </c>
    </row>
    <row r="66" spans="1:8" x14ac:dyDescent="0.3">
      <c r="A66" s="25">
        <v>252</v>
      </c>
      <c r="B66" s="13">
        <v>1000</v>
      </c>
      <c r="C66" s="14">
        <f t="shared" si="14"/>
        <v>8.9540639999999989</v>
      </c>
      <c r="D66" s="13">
        <v>380</v>
      </c>
      <c r="E66" s="15">
        <f t="shared" si="15"/>
        <v>380</v>
      </c>
      <c r="F66" s="15">
        <f t="shared" si="6"/>
        <v>7</v>
      </c>
      <c r="G66" s="14">
        <f t="shared" si="16"/>
        <v>54.285714285714285</v>
      </c>
      <c r="H66" s="23">
        <f t="shared" si="17"/>
        <v>4.2438830010596312E-2</v>
      </c>
    </row>
    <row r="67" spans="1:8" x14ac:dyDescent="0.3">
      <c r="A67" s="25">
        <v>279</v>
      </c>
      <c r="B67" s="13">
        <v>1000</v>
      </c>
      <c r="C67" s="14">
        <f t="shared" si="14"/>
        <v>10.975581</v>
      </c>
      <c r="D67" s="13">
        <v>426</v>
      </c>
      <c r="E67" s="15">
        <f t="shared" si="15"/>
        <v>426</v>
      </c>
      <c r="F67" s="15">
        <f t="shared" si="6"/>
        <v>7</v>
      </c>
      <c r="G67" s="14">
        <f t="shared" si="16"/>
        <v>60.857142857142854</v>
      </c>
      <c r="H67" s="23">
        <f t="shared" si="17"/>
        <v>3.8813435024533098E-2</v>
      </c>
    </row>
    <row r="68" spans="1:8" x14ac:dyDescent="0.3">
      <c r="A68" s="25">
        <v>301</v>
      </c>
      <c r="B68" s="13">
        <v>1000</v>
      </c>
      <c r="C68" s="14">
        <f t="shared" si="14"/>
        <v>12.774741000000001</v>
      </c>
      <c r="D68" s="13">
        <v>458</v>
      </c>
      <c r="E68" s="15">
        <f t="shared" si="15"/>
        <v>458</v>
      </c>
      <c r="F68" s="15">
        <f t="shared" si="6"/>
        <v>7</v>
      </c>
      <c r="G68" s="14">
        <f t="shared" si="16"/>
        <v>65.428571428571431</v>
      </c>
      <c r="H68" s="23">
        <f t="shared" si="17"/>
        <v>3.5851998878098583E-2</v>
      </c>
    </row>
    <row r="69" spans="1:8" x14ac:dyDescent="0.3">
      <c r="A69" s="26">
        <v>312</v>
      </c>
      <c r="B69" s="17">
        <v>1000</v>
      </c>
      <c r="C69" s="18">
        <f t="shared" si="14"/>
        <v>13.725504000000001</v>
      </c>
      <c r="D69" s="17">
        <v>474</v>
      </c>
      <c r="E69" s="19">
        <f t="shared" si="15"/>
        <v>474</v>
      </c>
      <c r="F69" s="19">
        <f t="shared" si="6"/>
        <v>7</v>
      </c>
      <c r="G69" s="18">
        <f t="shared" si="16"/>
        <v>67.714285714285708</v>
      </c>
      <c r="H69" s="24">
        <f t="shared" si="17"/>
        <v>3.4534250982696149E-2</v>
      </c>
    </row>
  </sheetData>
  <mergeCells count="7">
    <mergeCell ref="A50:H50"/>
    <mergeCell ref="A60:H60"/>
    <mergeCell ref="A2:H2"/>
    <mergeCell ref="A10:H10"/>
    <mergeCell ref="A18:H18"/>
    <mergeCell ref="A27:H27"/>
    <mergeCell ref="A40:H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Laser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2026-02-17T04:17:11Z</dcterms:created>
  <dcterms:modified xsi:type="dcterms:W3CDTF">2026-03-11T02:47:42Z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