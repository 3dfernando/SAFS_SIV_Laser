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Measurements\"/>
    </mc:Choice>
  </mc:AlternateContent>
  <xr:revisionPtr revIDLastSave="0" documentId="13_ncr:1_{11D6052C-B14A-4B4D-8064-FEDBB3D71BEC}" xr6:coauthVersionLast="47" xr6:coauthVersionMax="47" xr10:uidLastSave="{00000000-0000-0000-0000-000000000000}"/>
  <bookViews>
    <workbookView xWindow="-28920" yWindow="-120" windowWidth="29040" windowHeight="15225" xr2:uid="{88543C75-BD72-4092-A37C-426BBA4C0125}"/>
  </bookViews>
  <sheets>
    <sheet name="Laser Energy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X4" i="1" l="1"/>
  <c r="X5" i="1"/>
  <c r="X6" i="1"/>
  <c r="X7" i="1"/>
  <c r="X8" i="1"/>
  <c r="X9" i="1"/>
  <c r="X10" i="1"/>
  <c r="X11" i="1"/>
  <c r="X12" i="1"/>
  <c r="X13" i="1"/>
  <c r="X14" i="1"/>
  <c r="X3" i="1"/>
  <c r="W4" i="1"/>
  <c r="W5" i="1"/>
  <c r="W6" i="1"/>
  <c r="W7" i="1"/>
  <c r="W8" i="1"/>
  <c r="W9" i="1"/>
  <c r="W10" i="1"/>
  <c r="W11" i="1"/>
  <c r="W12" i="1"/>
  <c r="W13" i="1"/>
  <c r="W14" i="1"/>
  <c r="W3" i="1"/>
  <c r="V14" i="1"/>
  <c r="V13" i="1"/>
  <c r="V12" i="1"/>
  <c r="V11" i="1"/>
  <c r="T14" i="1"/>
  <c r="T13" i="1"/>
  <c r="T12" i="1"/>
  <c r="T11" i="1"/>
  <c r="V10" i="1"/>
  <c r="T10" i="1"/>
  <c r="V9" i="1"/>
  <c r="T9" i="1"/>
  <c r="V8" i="1"/>
  <c r="T8" i="1"/>
  <c r="V7" i="1"/>
  <c r="T7" i="1"/>
  <c r="V6" i="1"/>
  <c r="T6" i="1"/>
  <c r="V5" i="1"/>
  <c r="T5" i="1"/>
  <c r="V4" i="1"/>
  <c r="T4" i="1"/>
  <c r="V3" i="1"/>
  <c r="T3" i="1"/>
  <c r="P3" i="1"/>
  <c r="P4" i="1"/>
  <c r="P5" i="1"/>
  <c r="P6" i="1"/>
  <c r="P7" i="1"/>
  <c r="P8" i="1"/>
  <c r="P9" i="1"/>
  <c r="P10" i="1"/>
  <c r="O4" i="1"/>
  <c r="O5" i="1"/>
  <c r="O6" i="1"/>
  <c r="O7" i="1"/>
  <c r="O8" i="1"/>
  <c r="O9" i="1"/>
  <c r="O10" i="1"/>
  <c r="O3" i="1"/>
  <c r="M10" i="1"/>
  <c r="M9" i="1"/>
  <c r="M8" i="1"/>
  <c r="M7" i="1"/>
  <c r="M6" i="1"/>
  <c r="M5" i="1"/>
  <c r="M4" i="1"/>
  <c r="M3" i="1"/>
  <c r="J9" i="1"/>
  <c r="J8" i="1"/>
  <c r="J7" i="1"/>
  <c r="J6" i="1"/>
  <c r="J5" i="1"/>
  <c r="J4" i="1"/>
  <c r="J3" i="1"/>
  <c r="E4" i="1"/>
  <c r="E5" i="1"/>
  <c r="E6" i="1"/>
  <c r="E7" i="1"/>
  <c r="E8" i="1"/>
  <c r="E9" i="1"/>
  <c r="E3" i="1"/>
  <c r="G9" i="1"/>
  <c r="G8" i="1"/>
  <c r="G7" i="1"/>
  <c r="G6" i="1"/>
  <c r="G5" i="1"/>
  <c r="G4" i="1"/>
  <c r="G3" i="1"/>
  <c r="B4" i="1"/>
  <c r="B5" i="1"/>
  <c r="B6" i="1"/>
  <c r="B7" i="1"/>
  <c r="B8" i="1"/>
  <c r="B9" i="1"/>
  <c r="B3" i="1"/>
  <c r="I9" i="1"/>
  <c r="I8" i="1"/>
  <c r="I7" i="1"/>
  <c r="I6" i="1"/>
  <c r="I5" i="1"/>
  <c r="I4" i="1"/>
  <c r="I3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<sst xmlns="http://schemas.openxmlformats.org/spreadsheetml/2006/main" count="33" uniqueCount="17">
  <si>
    <t>Voltage [V]</t>
  </si>
  <si>
    <t>Energy/pulse [nJ]</t>
  </si>
  <si>
    <t>Notes: Pulse frequency: 2kHz; Diode: NUBM-44</t>
  </si>
  <si>
    <t>Cap Energy [uJ]</t>
  </si>
  <si>
    <t>Peak Power [W]</t>
  </si>
  <si>
    <t>Pulse width [approx]</t>
  </si>
  <si>
    <t>Laser 1 [Blue]</t>
  </si>
  <si>
    <t>Laser 2 [Blue]</t>
  </si>
  <si>
    <t>Test on 02/22/26, Green Laser</t>
  </si>
  <si>
    <t>Optical Power [uW]</t>
  </si>
  <si>
    <t>Notes: Pulse frequency: 1kHz; Diode: Z-80</t>
  </si>
  <si>
    <t>Test on 02/22/26, IR Laser</t>
  </si>
  <si>
    <t>Notes: Pulse frequency: 1kHz, Diode:  ST905A13</t>
  </si>
  <si>
    <t>Pulse width: ~7ns</t>
  </si>
  <si>
    <t>Ran ok until 8kHz at 300V. After that it overheated the transistor</t>
  </si>
  <si>
    <t>Optical Efficency</t>
  </si>
  <si>
    <t>Ran ok until 30kHz at 205V.At 40kHz it overheated the transistor (after lifting the 1.2k resistor off the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</si>
</sst>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 &quot;ns&quot;"/>
    <numFmt numFmtId="172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 applyBorder="1"/>
    <xf numFmtId="11" fontId="0" fillId="0" borderId="0" xfId="0" applyNumberFormat="1" applyBorder="1"/>
    <xf numFmtId="165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1" applyFont="1" applyFill="1" applyBorder="1"/>
    <xf numFmtId="0" fontId="0" fillId="0" borderId="4" xfId="0" applyFill="1" applyBorder="1"/>
    <xf numFmtId="2" fontId="0" fillId="0" borderId="0" xfId="0" applyNumberFormat="1" applyBorder="1"/>
    <xf numFmtId="164" fontId="0" fillId="0" borderId="7" xfId="0" applyNumberFormat="1" applyBorder="1"/>
    <xf numFmtId="172" fontId="0" fillId="0" borderId="5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Blue 1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'Laser Energy'!$A$3:$A$9</c:f>
              <c:numCache>
                <c:formatCode>General</c:formatCode>
                <c:ptCount val="7"/>
                <c:pt idx="0">
                  <c:v>180</c:v>
                </c:pt>
                <c:pt idx="1">
                  <c:v>190</c:v>
                </c:pt>
                <c:pt idx="2">
                  <c:v>202</c:v>
                </c:pt>
                <c:pt idx="3">
                  <c:v>214</c:v>
                </c:pt>
                <c:pt idx="4">
                  <c:v>227</c:v>
                </c:pt>
                <c:pt idx="5">
                  <c:v>237</c:v>
                </c:pt>
                <c:pt idx="6">
                  <c:v>255</c:v>
                </c:pt>
              </c:numCache>
            </c:numRef>
          </c:xVal>
          <c:yVal>
            <c:numRef>
              <c:f>'Laser Energy'!$D$3:$D$9</c:f>
              <c:numCache>
                <c:formatCode>General</c:formatCode>
                <c:ptCount val="7"/>
                <c:pt idx="0">
                  <c:v>92.5</c:v>
                </c:pt>
                <c:pt idx="1">
                  <c:v>107.5</c:v>
                </c:pt>
                <c:pt idx="2">
                  <c:v>124.5</c:v>
                </c:pt>
                <c:pt idx="3">
                  <c:v>141</c:v>
                </c:pt>
                <c:pt idx="4">
                  <c:v>160.5</c:v>
                </c:pt>
                <c:pt idx="5">
                  <c:v>172.5</c:v>
                </c:pt>
                <c:pt idx="6">
                  <c:v>202.5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C-42DA-B0F4-BA42301A7674}"/>
            </c:ext>
          </c:extLst>
        </c:ser>
        <c:ser>
          <c:idx val="1"/>
          <c:order val="1"/>
          <c:tx>
            <c:v>Blue 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'Laser Energy'!$F$3:$F$9</c:f>
              <c:numCache>
                <c:formatCode>General</c:formatCode>
                <c:ptCount val="7"/>
                <c:pt idx="0">
                  <c:v>171</c:v>
                </c:pt>
                <c:pt idx="1">
                  <c:v>181</c:v>
                </c:pt>
                <c:pt idx="2">
                  <c:v>191</c:v>
                </c:pt>
                <c:pt idx="3">
                  <c:v>200.6</c:v>
                </c:pt>
                <c:pt idx="4">
                  <c:v>216</c:v>
                </c:pt>
                <c:pt idx="5">
                  <c:v>229</c:v>
                </c:pt>
                <c:pt idx="6">
                  <c:v>251</c:v>
                </c:pt>
              </c:numCache>
            </c:numRef>
          </c:xVal>
          <c:yVal>
            <c:numRef>
              <c:f>'Laser Energy'!$I$3:$I$9</c:f>
              <c:numCache>
                <c:formatCode>General</c:formatCode>
                <c:ptCount val="7"/>
                <c:pt idx="0">
                  <c:v>110</c:v>
                </c:pt>
                <c:pt idx="1">
                  <c:v>144</c:v>
                </c:pt>
                <c:pt idx="2">
                  <c:v>165.5</c:v>
                </c:pt>
                <c:pt idx="3">
                  <c:v>188</c:v>
                </c:pt>
                <c:pt idx="4">
                  <c:v>218</c:v>
                </c:pt>
                <c:pt idx="5">
                  <c:v>244.5</c:v>
                </c:pt>
                <c:pt idx="6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0C-42DA-B0F4-BA42301A7674}"/>
            </c:ext>
          </c:extLst>
        </c:ser>
        <c:ser>
          <c:idx val="2"/>
          <c:order val="2"/>
          <c:tx>
            <c:v>Green Laser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'Laser Energy'!$L$3:$L$10</c:f>
              <c:numCache>
                <c:formatCode>General</c:formatCode>
                <c:ptCount val="8"/>
                <c:pt idx="0">
                  <c:v>164</c:v>
                </c:pt>
                <c:pt idx="1">
                  <c:v>169.5</c:v>
                </c:pt>
                <c:pt idx="2">
                  <c:v>181.3</c:v>
                </c:pt>
                <c:pt idx="3">
                  <c:v>191.3</c:v>
                </c:pt>
                <c:pt idx="4">
                  <c:v>201.4</c:v>
                </c:pt>
                <c:pt idx="5">
                  <c:v>220.9</c:v>
                </c:pt>
                <c:pt idx="6">
                  <c:v>240</c:v>
                </c:pt>
                <c:pt idx="7">
                  <c:v>257.5</c:v>
                </c:pt>
              </c:numCache>
            </c:numRef>
          </c:xVal>
          <c:yVal>
            <c:numRef>
              <c:f>'Laser Energy'!$O$3:$O$10</c:f>
              <c:numCache>
                <c:formatCode>General</c:formatCode>
                <c:ptCount val="8"/>
                <c:pt idx="0">
                  <c:v>41.6</c:v>
                </c:pt>
                <c:pt idx="1">
                  <c:v>44.6</c:v>
                </c:pt>
                <c:pt idx="2">
                  <c:v>49.5</c:v>
                </c:pt>
                <c:pt idx="3">
                  <c:v>53.3</c:v>
                </c:pt>
                <c:pt idx="4">
                  <c:v>56.3</c:v>
                </c:pt>
                <c:pt idx="5">
                  <c:v>62.2</c:v>
                </c:pt>
                <c:pt idx="6">
                  <c:v>68.5</c:v>
                </c:pt>
                <c:pt idx="7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3E-4160-BC26-1306E124A384}"/>
            </c:ext>
          </c:extLst>
        </c:ser>
        <c:ser>
          <c:idx val="3"/>
          <c:order val="3"/>
          <c:tx>
            <c:v>IR Laser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'Laser Energy'!$S$3:$S$14</c:f>
              <c:numCache>
                <c:formatCode>General</c:formatCode>
                <c:ptCount val="12"/>
                <c:pt idx="0">
                  <c:v>165</c:v>
                </c:pt>
                <c:pt idx="1">
                  <c:v>167.7</c:v>
                </c:pt>
                <c:pt idx="2">
                  <c:v>170</c:v>
                </c:pt>
                <c:pt idx="3">
                  <c:v>181.5</c:v>
                </c:pt>
                <c:pt idx="4">
                  <c:v>189.3</c:v>
                </c:pt>
                <c:pt idx="5">
                  <c:v>206.4</c:v>
                </c:pt>
                <c:pt idx="6">
                  <c:v>219</c:v>
                </c:pt>
                <c:pt idx="7">
                  <c:v>230</c:v>
                </c:pt>
                <c:pt idx="8">
                  <c:v>245</c:v>
                </c:pt>
                <c:pt idx="9">
                  <c:v>269</c:v>
                </c:pt>
                <c:pt idx="10">
                  <c:v>292</c:v>
                </c:pt>
                <c:pt idx="11">
                  <c:v>304.60000000000002</c:v>
                </c:pt>
              </c:numCache>
            </c:numRef>
          </c:xVal>
          <c:yVal>
            <c:numRef>
              <c:f>'Laser Energy'!$U$3:$U$14</c:f>
              <c:numCache>
                <c:formatCode>General</c:formatCode>
                <c:ptCount val="12"/>
                <c:pt idx="0">
                  <c:v>38</c:v>
                </c:pt>
                <c:pt idx="1">
                  <c:v>41.5</c:v>
                </c:pt>
                <c:pt idx="2">
                  <c:v>170.1</c:v>
                </c:pt>
                <c:pt idx="3">
                  <c:v>307</c:v>
                </c:pt>
                <c:pt idx="4">
                  <c:v>346</c:v>
                </c:pt>
                <c:pt idx="5">
                  <c:v>422</c:v>
                </c:pt>
                <c:pt idx="6">
                  <c:v>479</c:v>
                </c:pt>
                <c:pt idx="7">
                  <c:v>528</c:v>
                </c:pt>
                <c:pt idx="8">
                  <c:v>601</c:v>
                </c:pt>
                <c:pt idx="9">
                  <c:v>712</c:v>
                </c:pt>
                <c:pt idx="10">
                  <c:v>805</c:v>
                </c:pt>
                <c:pt idx="11">
                  <c:v>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3E-4160-BC26-1306E124A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890256"/>
        <c:axId val="835893136"/>
      </c:scatterChart>
      <c:valAx>
        <c:axId val="8358902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3136"/>
        <c:crosses val="autoZero"/>
        <c:crossBetween val="midCat"/>
      </c:valAx>
      <c:valAx>
        <c:axId val="835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Energy/Pulse at 2khz [nJ]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73486</xdr:colOff>
      <xdr:row>23</xdr:row>
      <xdr:rowOff>178335</xdr:rowOff>
    </xdr:from>
    <xdr:to>
      <xdr:col>14</xdr:col>
      <xdr:colOff>392158</xdr:colOff>
      <xdr:row>43</xdr:row>
      <xdr:rowOff>38540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CC4EA-0488-C687-2C10-008F8ACBA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F856-3FE9-4106-A932-4CF2099E89F0}">
  <dimension ref="A1:Z21"/>
  <sheetViews>
    <sheetView tabSelected="1" zoomScaleNormal="100" workbookViewId="0">
      <selection activeCell="G14" sqref="G14"/>
    </sheetView>
  </sheetViews>
  <sheetFormatPr defaultRowHeight="14.4" x14ac:dyDescent="0.3"/>
  <cols>
    <col min="1" max="1" width="16.6640625" customWidth="1"/>
    <col min="2" max="2" width="13.33203125" customWidth="1"/>
    <col min="3" max="3" width="13.88671875" customWidth="1"/>
    <col min="4" max="5" width="15.109375" customWidth="1"/>
    <col min="6" max="6" width="13.88671875" customWidth="1"/>
    <col min="7" max="7" width="13.33203125" customWidth="1"/>
    <col min="8" max="8" width="13.88671875" customWidth="1"/>
    <col min="9" max="9" width="16.109375" customWidth="1"/>
    <col min="10" max="10" width="12.33203125" customWidth="1"/>
    <col min="13" max="13" width="14.88671875" customWidth="1"/>
    <col min="14" max="14" width="16.33203125" customWidth="1"/>
    <col min="15" max="15" width="18.6640625" customWidth="1"/>
    <col min="19" max="19" width="11.109375" customWidth="1"/>
    <col min="20" max="20" width="14.44140625" customWidth="1"/>
    <col min="21" max="21" width="18.33203125" customWidth="1"/>
    <col min="22" max="22" width="17.88671875" customWidth="1"/>
    <col min="23" max="23" width="13" customWidth="1"/>
    <col min="24" max="24" width="16.109375" customWidth="1"/>
  </cols>
  <sheetData>
    <row r="1" spans="1:26" x14ac:dyDescent="0.3">
      <c r="A1" s="2" t="s">
        <v>6</v>
      </c>
      <c r="B1" s="3"/>
      <c r="C1" s="3"/>
      <c r="D1" s="3"/>
      <c r="E1" s="4"/>
      <c r="F1" s="2" t="s">
        <v>7</v>
      </c>
      <c r="G1" s="3"/>
      <c r="H1" s="3"/>
      <c r="I1" s="3"/>
      <c r="J1" s="4"/>
      <c r="L1" s="2" t="s">
        <v>8</v>
      </c>
      <c r="M1" s="3"/>
      <c r="N1" s="3"/>
      <c r="O1" s="3"/>
      <c r="P1" s="3"/>
      <c r="Q1" s="3"/>
      <c r="S1" s="2" t="s">
        <v>11</v>
      </c>
      <c r="T1" s="3"/>
      <c r="U1" s="3"/>
      <c r="V1" s="3"/>
      <c r="W1" s="3"/>
      <c r="X1" s="4"/>
    </row>
    <row r="2" spans="1:26" ht="15" customHeight="1" x14ac:dyDescent="0.3">
      <c r="A2" s="5" t="s">
        <v>0</v>
      </c>
      <c r="B2" s="6" t="s">
        <v>3</v>
      </c>
      <c r="C2" s="6" t="s">
        <v>9</v>
      </c>
      <c r="D2" s="6" t="s">
        <v>1</v>
      </c>
      <c r="E2" s="7" t="s">
        <v>4</v>
      </c>
      <c r="F2" s="5" t="s">
        <v>0</v>
      </c>
      <c r="G2" s="6" t="s">
        <v>3</v>
      </c>
      <c r="H2" s="6" t="s">
        <v>9</v>
      </c>
      <c r="I2" s="6" t="s">
        <v>1</v>
      </c>
      <c r="J2" s="7" t="s">
        <v>4</v>
      </c>
      <c r="L2" s="5" t="s">
        <v>0</v>
      </c>
      <c r="M2" s="6" t="s">
        <v>3</v>
      </c>
      <c r="N2" s="6" t="s">
        <v>9</v>
      </c>
      <c r="O2" s="6" t="s">
        <v>1</v>
      </c>
      <c r="P2" s="6" t="s">
        <v>4</v>
      </c>
      <c r="Q2" s="6"/>
      <c r="S2" s="5" t="s">
        <v>0</v>
      </c>
      <c r="T2" s="6" t="s">
        <v>3</v>
      </c>
      <c r="U2" s="6" t="s">
        <v>9</v>
      </c>
      <c r="V2" s="6" t="s">
        <v>1</v>
      </c>
      <c r="W2" s="6" t="s">
        <v>4</v>
      </c>
      <c r="X2" s="7" t="s">
        <v>15</v>
      </c>
    </row>
    <row r="3" spans="1:26" x14ac:dyDescent="0.3">
      <c r="A3" s="5">
        <v>180</v>
      </c>
      <c r="B3" s="8">
        <f>A3*A3*0.5*6*0.000000000047*1000000</f>
        <v>4.5684000000000005</v>
      </c>
      <c r="C3" s="6">
        <v>185</v>
      </c>
      <c r="D3" s="6">
        <f>C3/2</f>
        <v>92.5</v>
      </c>
      <c r="E3" s="7">
        <f>D3/$B$13</f>
        <v>13.214285714285714</v>
      </c>
      <c r="F3" s="5">
        <v>171</v>
      </c>
      <c r="G3" s="8">
        <f>F3*F3*0.5*6*0.000000000047*1000000</f>
        <v>4.1229810000000002</v>
      </c>
      <c r="H3" s="6">
        <v>220</v>
      </c>
      <c r="I3" s="6">
        <f>H3/2</f>
        <v>110</v>
      </c>
      <c r="J3" s="7">
        <f>I3/$B$13</f>
        <v>15.714285714285714</v>
      </c>
      <c r="L3" s="5">
        <v>164</v>
      </c>
      <c r="M3" s="8">
        <f>L3*L3*0.5*6*0.000000000047*1000000</f>
        <v>3.7923359999999997</v>
      </c>
      <c r="N3" s="6">
        <v>41.6</v>
      </c>
      <c r="O3" s="6">
        <f>N3/1</f>
        <v>41.6</v>
      </c>
      <c r="P3" s="6">
        <f>O3/$B$13</f>
        <v>5.9428571428571431</v>
      </c>
      <c r="Q3" s="6"/>
      <c r="S3" s="5">
        <v>165</v>
      </c>
      <c r="T3" s="8">
        <f>S3*S3*0.5*6*0.000000000047*1000000</f>
        <v>3.8387250000000002</v>
      </c>
      <c r="U3" s="6">
        <v>38</v>
      </c>
      <c r="V3" s="6">
        <f>U3/1</f>
        <v>38</v>
      </c>
      <c r="W3" s="18">
        <f>V3/$T$17</f>
        <v>5.4285714285714288</v>
      </c>
      <c r="X3" s="20">
        <f>V3/T3/1000</f>
        <v>9.8991201505708275E-3</v>
      </c>
    </row>
    <row r="4" spans="1:26" x14ac:dyDescent="0.3">
      <c r="A4" s="5">
        <v>190</v>
      </c>
      <c r="B4" s="8">
        <f t="shared" ref="B4:B9" si="0">A4*A4*0.5*6*0.000000000047*1000000</f>
        <v>5.0900999999999996</v>
      </c>
      <c r="C4" s="6">
        <v>215</v>
      </c>
      <c r="D4" s="6">
        <f t="shared" ref="D4:D9" si="1">C4/2</f>
        <v>107.5</v>
      </c>
      <c r="E4" s="7">
        <f t="shared" ref="E4:E9" si="2">D4/$B$13</f>
        <v>15.357142857142858</v>
      </c>
      <c r="F4" s="5">
        <v>181</v>
      </c>
      <c r="G4" s="8">
        <f t="shared" ref="G4:G9" si="3">F4*F4*0.5*6*0.000000000047*1000000</f>
        <v>4.6193010000000001</v>
      </c>
      <c r="H4" s="6">
        <v>288</v>
      </c>
      <c r="I4" s="6">
        <f t="shared" ref="I4:I9" si="4">H4/2</f>
        <v>144</v>
      </c>
      <c r="J4" s="7">
        <f t="shared" ref="J4:J9" si="5">I4/$B$13</f>
        <v>20.571428571428573</v>
      </c>
      <c r="L4" s="5">
        <v>169.5</v>
      </c>
      <c r="M4" s="8">
        <f t="shared" ref="M4:M10" si="6">L4*L4*0.5*6*0.000000000047*1000000</f>
        <v>4.05096525</v>
      </c>
      <c r="N4" s="6">
        <v>44.6</v>
      </c>
      <c r="O4" s="6">
        <f t="shared" ref="O4:O10" si="7">N4/1</f>
        <v>44.6</v>
      </c>
      <c r="P4" s="6">
        <f t="shared" ref="P4:P11" si="8">O4/$B$13</f>
        <v>6.3714285714285719</v>
      </c>
      <c r="Q4" s="6"/>
      <c r="S4" s="5">
        <v>167.7</v>
      </c>
      <c r="T4" s="8">
        <f t="shared" ref="T4:T14" si="9">S4*S4*0.5*6*0.000000000047*1000000</f>
        <v>3.96538389</v>
      </c>
      <c r="U4" s="6">
        <v>41.5</v>
      </c>
      <c r="V4" s="6">
        <f t="shared" ref="V4:V14" si="10">U4/1</f>
        <v>41.5</v>
      </c>
      <c r="W4" s="18">
        <f t="shared" ref="W4:W14" si="11">V4/$T$17</f>
        <v>5.9285714285714288</v>
      </c>
      <c r="X4" s="20">
        <f>V4/T4/1000</f>
        <v>1.0465569324739452E-2</v>
      </c>
    </row>
    <row r="5" spans="1:26" x14ac:dyDescent="0.3">
      <c r="A5" s="5">
        <v>202</v>
      </c>
      <c r="B5" s="8">
        <f t="shared" si="0"/>
        <v>5.7533639999999995</v>
      </c>
      <c r="C5" s="6">
        <v>249</v>
      </c>
      <c r="D5" s="6">
        <f t="shared" si="1"/>
        <v>124.5</v>
      </c>
      <c r="E5" s="7">
        <f t="shared" si="2"/>
        <v>17.785714285714285</v>
      </c>
      <c r="F5" s="5">
        <v>191</v>
      </c>
      <c r="G5" s="8">
        <f t="shared" si="3"/>
        <v>5.143821</v>
      </c>
      <c r="H5" s="6">
        <v>331</v>
      </c>
      <c r="I5" s="6">
        <f t="shared" si="4"/>
        <v>165.5</v>
      </c>
      <c r="J5" s="7">
        <f t="shared" si="5"/>
        <v>23.642857142857142</v>
      </c>
      <c r="L5" s="5">
        <v>181.3</v>
      </c>
      <c r="M5" s="8">
        <f t="shared" si="6"/>
        <v>4.6346262899999999</v>
      </c>
      <c r="N5" s="6">
        <v>49.5</v>
      </c>
      <c r="O5" s="6">
        <f t="shared" si="7"/>
        <v>49.5</v>
      </c>
      <c r="P5" s="6">
        <f t="shared" si="8"/>
        <v>7.0714285714285712</v>
      </c>
      <c r="Q5" s="6"/>
      <c r="S5" s="5">
        <v>170</v>
      </c>
      <c r="T5" s="8">
        <f t="shared" si="9"/>
        <v>4.0748999999999995</v>
      </c>
      <c r="U5" s="6">
        <v>170.1</v>
      </c>
      <c r="V5" s="6">
        <f t="shared" si="10"/>
        <v>170.1</v>
      </c>
      <c r="W5" s="18">
        <f t="shared" si="11"/>
        <v>24.3</v>
      </c>
      <c r="X5" s="20">
        <f>V5/T5/1000</f>
        <v>4.17433556651697E-2</v>
      </c>
    </row>
    <row r="6" spans="1:26" x14ac:dyDescent="0.3">
      <c r="A6" s="5">
        <v>214</v>
      </c>
      <c r="B6" s="8">
        <f t="shared" si="0"/>
        <v>6.457236</v>
      </c>
      <c r="C6" s="6">
        <v>282</v>
      </c>
      <c r="D6" s="6">
        <f t="shared" si="1"/>
        <v>141</v>
      </c>
      <c r="E6" s="7">
        <f t="shared" si="2"/>
        <v>20.142857142857142</v>
      </c>
      <c r="F6" s="5">
        <v>200.6</v>
      </c>
      <c r="G6" s="8">
        <f t="shared" si="3"/>
        <v>5.6738907600000008</v>
      </c>
      <c r="H6" s="6">
        <v>376</v>
      </c>
      <c r="I6" s="6">
        <f t="shared" si="4"/>
        <v>188</v>
      </c>
      <c r="J6" s="7">
        <f t="shared" si="5"/>
        <v>26.857142857142858</v>
      </c>
      <c r="L6" s="5">
        <v>191.3</v>
      </c>
      <c r="M6" s="8">
        <f t="shared" si="6"/>
        <v>5.1599922899999999</v>
      </c>
      <c r="N6" s="6">
        <v>53.3</v>
      </c>
      <c r="O6" s="6">
        <f t="shared" si="7"/>
        <v>53.3</v>
      </c>
      <c r="P6" s="6">
        <f t="shared" si="8"/>
        <v>7.6142857142857139</v>
      </c>
      <c r="Q6" s="6"/>
      <c r="S6" s="5">
        <v>181.5</v>
      </c>
      <c r="T6" s="8">
        <f t="shared" si="9"/>
        <v>4.6448572500000003</v>
      </c>
      <c r="U6" s="15">
        <v>307</v>
      </c>
      <c r="V6" s="6">
        <f t="shared" si="10"/>
        <v>307</v>
      </c>
      <c r="W6" s="18">
        <f t="shared" si="11"/>
        <v>43.857142857142854</v>
      </c>
      <c r="X6" s="20">
        <f>V6/T6/1000</f>
        <v>6.6094603876147101E-2</v>
      </c>
    </row>
    <row r="7" spans="1:26" x14ac:dyDescent="0.3">
      <c r="A7" s="5">
        <v>227</v>
      </c>
      <c r="B7" s="8">
        <f t="shared" si="0"/>
        <v>7.2655890000000003</v>
      </c>
      <c r="C7" s="6">
        <v>321</v>
      </c>
      <c r="D7" s="6">
        <f t="shared" si="1"/>
        <v>160.5</v>
      </c>
      <c r="E7" s="7">
        <f t="shared" si="2"/>
        <v>22.928571428571427</v>
      </c>
      <c r="F7" s="5">
        <v>216</v>
      </c>
      <c r="G7" s="8">
        <f t="shared" si="3"/>
        <v>6.5784959999999995</v>
      </c>
      <c r="H7" s="6">
        <v>436</v>
      </c>
      <c r="I7" s="6">
        <f t="shared" si="4"/>
        <v>218</v>
      </c>
      <c r="J7" s="7">
        <f t="shared" si="5"/>
        <v>31.142857142857142</v>
      </c>
      <c r="L7" s="5">
        <v>201.4</v>
      </c>
      <c r="M7" s="8">
        <f t="shared" si="6"/>
        <v>5.71923636</v>
      </c>
      <c r="N7" s="6">
        <v>56.3</v>
      </c>
      <c r="O7" s="6">
        <f t="shared" si="7"/>
        <v>56.3</v>
      </c>
      <c r="P7" s="6">
        <f t="shared" si="8"/>
        <v>8.0428571428571427</v>
      </c>
      <c r="Q7" s="6"/>
      <c r="S7" s="5">
        <v>189.3</v>
      </c>
      <c r="T7" s="8">
        <f t="shared" si="9"/>
        <v>5.0526630900000002</v>
      </c>
      <c r="U7" s="15">
        <v>346</v>
      </c>
      <c r="V7" s="6">
        <f t="shared" si="10"/>
        <v>346</v>
      </c>
      <c r="W7" s="18">
        <f t="shared" si="11"/>
        <v>49.428571428571431</v>
      </c>
      <c r="X7" s="20">
        <f>V7/T7/1000</f>
        <v>6.8478739594727264E-2</v>
      </c>
    </row>
    <row r="8" spans="1:26" x14ac:dyDescent="0.3">
      <c r="A8" s="5">
        <v>237</v>
      </c>
      <c r="B8" s="8">
        <f t="shared" si="0"/>
        <v>7.9198289999999991</v>
      </c>
      <c r="C8" s="6">
        <v>345</v>
      </c>
      <c r="D8" s="6">
        <f t="shared" si="1"/>
        <v>172.5</v>
      </c>
      <c r="E8" s="7">
        <f t="shared" si="2"/>
        <v>24.642857142857142</v>
      </c>
      <c r="F8" s="5">
        <v>229</v>
      </c>
      <c r="G8" s="8">
        <f t="shared" si="3"/>
        <v>7.3941809999999997</v>
      </c>
      <c r="H8" s="6">
        <v>489</v>
      </c>
      <c r="I8" s="6">
        <f t="shared" si="4"/>
        <v>244.5</v>
      </c>
      <c r="J8" s="7">
        <f t="shared" si="5"/>
        <v>34.928571428571431</v>
      </c>
      <c r="L8" s="5">
        <v>220.9</v>
      </c>
      <c r="M8" s="8">
        <f t="shared" si="6"/>
        <v>6.8803502100000005</v>
      </c>
      <c r="N8" s="6">
        <v>62.2</v>
      </c>
      <c r="O8" s="6">
        <f t="shared" si="7"/>
        <v>62.2</v>
      </c>
      <c r="P8" s="6">
        <f t="shared" si="8"/>
        <v>8.8857142857142861</v>
      </c>
      <c r="Q8" s="6"/>
      <c r="S8" s="5">
        <v>206.4</v>
      </c>
      <c r="T8" s="8">
        <f t="shared" si="9"/>
        <v>6.0067353599999995</v>
      </c>
      <c r="U8" s="15">
        <v>422</v>
      </c>
      <c r="V8" s="6">
        <f t="shared" si="10"/>
        <v>422</v>
      </c>
      <c r="W8" s="18">
        <f t="shared" si="11"/>
        <v>60.285714285714285</v>
      </c>
      <c r="X8" s="20">
        <f>V8/T8/1000</f>
        <v>7.0254468477199586E-2</v>
      </c>
    </row>
    <row r="9" spans="1:26" x14ac:dyDescent="0.3">
      <c r="A9" s="11">
        <v>255</v>
      </c>
      <c r="B9" s="19">
        <f t="shared" si="0"/>
        <v>9.1685250000000007</v>
      </c>
      <c r="C9" s="12">
        <v>405</v>
      </c>
      <c r="D9" s="12">
        <f t="shared" si="1"/>
        <v>202.5</v>
      </c>
      <c r="E9" s="13">
        <f t="shared" si="2"/>
        <v>28.928571428571427</v>
      </c>
      <c r="F9" s="11">
        <v>251</v>
      </c>
      <c r="G9" s="19">
        <f t="shared" si="3"/>
        <v>8.8831410000000002</v>
      </c>
      <c r="H9" s="12">
        <v>574</v>
      </c>
      <c r="I9" s="12">
        <f t="shared" si="4"/>
        <v>287</v>
      </c>
      <c r="J9" s="13">
        <f t="shared" si="5"/>
        <v>41</v>
      </c>
      <c r="L9" s="5">
        <v>240</v>
      </c>
      <c r="M9" s="8">
        <f t="shared" si="6"/>
        <v>8.1216000000000008</v>
      </c>
      <c r="N9" s="6">
        <v>68.5</v>
      </c>
      <c r="O9" s="6">
        <f t="shared" si="7"/>
        <v>68.5</v>
      </c>
      <c r="P9" s="6">
        <f t="shared" si="8"/>
        <v>9.7857142857142865</v>
      </c>
      <c r="Q9" s="6"/>
      <c r="S9" s="5">
        <v>219</v>
      </c>
      <c r="T9" s="8">
        <f t="shared" si="9"/>
        <v>6.7625010000000003</v>
      </c>
      <c r="U9" s="15">
        <v>479</v>
      </c>
      <c r="V9" s="6">
        <f t="shared" si="10"/>
        <v>479</v>
      </c>
      <c r="W9" s="18">
        <f t="shared" si="11"/>
        <v>68.428571428571431</v>
      </c>
      <c r="X9" s="20">
        <f>V9/T9/1000</f>
        <v>7.0831782501769677E-2</v>
      </c>
    </row>
    <row r="10" spans="1:26" x14ac:dyDescent="0.3">
      <c r="A10" s="5"/>
      <c r="B10" s="9"/>
      <c r="C10" s="6"/>
      <c r="D10" s="6"/>
      <c r="E10" s="6"/>
      <c r="F10" s="6"/>
      <c r="G10" s="9"/>
      <c r="H10" s="6"/>
      <c r="I10" s="6"/>
      <c r="J10" s="7"/>
      <c r="L10" s="5">
        <v>257.5</v>
      </c>
      <c r="M10" s="14">
        <f t="shared" si="6"/>
        <v>9.3491812500000009</v>
      </c>
      <c r="N10" s="6">
        <v>74.400000000000006</v>
      </c>
      <c r="O10" s="6">
        <f t="shared" si="7"/>
        <v>74.400000000000006</v>
      </c>
      <c r="P10" s="6">
        <f t="shared" si="8"/>
        <v>10.62857142857143</v>
      </c>
      <c r="Q10" s="6"/>
      <c r="S10" s="5">
        <v>230</v>
      </c>
      <c r="T10" s="14">
        <f t="shared" si="9"/>
        <v>7.4588999999999999</v>
      </c>
      <c r="U10" s="15">
        <v>528</v>
      </c>
      <c r="V10" s="6">
        <f t="shared" si="10"/>
        <v>528</v>
      </c>
      <c r="W10" s="18">
        <f t="shared" si="11"/>
        <v>75.428571428571431</v>
      </c>
      <c r="X10" s="20">
        <f>V10/T10/1000</f>
        <v>7.0787917789486385E-2</v>
      </c>
      <c r="Z10">
        <f>V10*2*200000/1000000000</f>
        <v>0.2112</v>
      </c>
    </row>
    <row r="11" spans="1:26" x14ac:dyDescent="0.3">
      <c r="A11" s="5"/>
      <c r="B11" s="6"/>
      <c r="C11" s="6"/>
      <c r="D11" s="6"/>
      <c r="E11" s="6"/>
      <c r="F11" s="6"/>
      <c r="G11" s="6"/>
      <c r="H11" s="6"/>
      <c r="I11" s="6"/>
      <c r="J11" s="7"/>
      <c r="L11" s="5"/>
      <c r="M11" s="6"/>
      <c r="N11" s="6"/>
      <c r="O11" s="16"/>
      <c r="P11" s="15"/>
      <c r="Q11" s="6"/>
      <c r="S11" s="17">
        <v>245</v>
      </c>
      <c r="T11" s="14">
        <f t="shared" si="9"/>
        <v>8.4635249999999989</v>
      </c>
      <c r="U11" s="15">
        <v>601</v>
      </c>
      <c r="V11" s="15">
        <f t="shared" si="10"/>
        <v>601</v>
      </c>
      <c r="W11" s="18">
        <f t="shared" si="11"/>
        <v>85.857142857142861</v>
      </c>
      <c r="X11" s="20">
        <f>V11/T11/1000</f>
        <v>7.1010601374722718E-2</v>
      </c>
    </row>
    <row r="12" spans="1:26" x14ac:dyDescent="0.3">
      <c r="A12" s="5" t="s">
        <v>2</v>
      </c>
      <c r="B12" s="6"/>
      <c r="C12" s="6"/>
      <c r="D12" s="6"/>
      <c r="E12" s="6"/>
      <c r="F12" s="6"/>
      <c r="G12" s="6"/>
      <c r="H12" s="6"/>
      <c r="I12" s="6"/>
      <c r="J12" s="7"/>
      <c r="L12" s="5" t="s">
        <v>10</v>
      </c>
      <c r="M12" s="6"/>
      <c r="N12" s="6"/>
      <c r="O12" s="6"/>
      <c r="P12" s="6"/>
      <c r="Q12" s="6"/>
      <c r="S12" s="17">
        <v>269</v>
      </c>
      <c r="T12" s="14">
        <f t="shared" si="9"/>
        <v>10.202900999999999</v>
      </c>
      <c r="U12" s="15">
        <v>712</v>
      </c>
      <c r="V12" s="15">
        <f t="shared" si="10"/>
        <v>712</v>
      </c>
      <c r="W12" s="18">
        <f t="shared" si="11"/>
        <v>101.71428571428571</v>
      </c>
      <c r="X12" s="20">
        <f>V12/T12/1000</f>
        <v>6.9784074156948109E-2</v>
      </c>
    </row>
    <row r="13" spans="1:26" x14ac:dyDescent="0.3">
      <c r="A13" s="5" t="s">
        <v>5</v>
      </c>
      <c r="B13" s="10">
        <v>7</v>
      </c>
      <c r="C13" s="6"/>
      <c r="D13" s="6"/>
      <c r="E13" s="6"/>
      <c r="F13" s="6"/>
      <c r="G13" s="6"/>
      <c r="H13" s="6"/>
      <c r="I13" s="6"/>
      <c r="J13" s="7"/>
      <c r="L13" s="5" t="s">
        <v>5</v>
      </c>
      <c r="M13" s="10">
        <v>7</v>
      </c>
      <c r="N13" s="6"/>
      <c r="O13" s="6"/>
      <c r="P13" s="6"/>
      <c r="Q13" s="6"/>
      <c r="S13" s="17">
        <v>292</v>
      </c>
      <c r="T13" s="14">
        <f t="shared" si="9"/>
        <v>12.022224000000001</v>
      </c>
      <c r="U13" s="15">
        <v>805</v>
      </c>
      <c r="V13" s="15">
        <f t="shared" si="10"/>
        <v>805</v>
      </c>
      <c r="W13" s="18">
        <f t="shared" si="11"/>
        <v>115</v>
      </c>
      <c r="X13" s="20">
        <f>V13/T13/1000</f>
        <v>6.6959324664055506E-2</v>
      </c>
    </row>
    <row r="14" spans="1:26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3"/>
      <c r="L14" s="11"/>
      <c r="M14" s="12"/>
      <c r="N14" s="12"/>
      <c r="O14" s="12"/>
      <c r="P14" s="12"/>
      <c r="Q14" s="12"/>
      <c r="S14" s="17">
        <v>304.60000000000002</v>
      </c>
      <c r="T14" s="14">
        <f t="shared" si="9"/>
        <v>13.08214356</v>
      </c>
      <c r="U14" s="15">
        <v>855</v>
      </c>
      <c r="V14" s="15">
        <f t="shared" si="10"/>
        <v>855</v>
      </c>
      <c r="W14" s="18">
        <f t="shared" si="11"/>
        <v>122.14285714285714</v>
      </c>
      <c r="X14" s="20">
        <f>V14/T14/1000</f>
        <v>6.5356261844905172E-2</v>
      </c>
    </row>
    <row r="15" spans="1:26" x14ac:dyDescent="0.3">
      <c r="S15" s="5"/>
      <c r="T15" s="6"/>
      <c r="U15" s="6"/>
      <c r="V15" s="6"/>
      <c r="W15" s="6"/>
      <c r="X15" s="7"/>
    </row>
    <row r="16" spans="1:26" x14ac:dyDescent="0.3">
      <c r="S16" s="5" t="s">
        <v>12</v>
      </c>
      <c r="T16" s="6"/>
      <c r="U16" s="6"/>
      <c r="V16" s="6"/>
      <c r="W16" s="6"/>
      <c r="X16" s="7"/>
    </row>
    <row r="17" spans="9:24" x14ac:dyDescent="0.3">
      <c r="S17" s="5" t="s">
        <v>13</v>
      </c>
      <c r="T17" s="10">
        <v>7</v>
      </c>
      <c r="U17" s="6"/>
      <c r="V17" s="6"/>
      <c r="W17" s="6"/>
      <c r="X17" s="7"/>
    </row>
    <row r="18" spans="9:24" x14ac:dyDescent="0.3">
      <c r="S18" s="5" t="s">
        <v>14</v>
      </c>
      <c r="T18" s="6"/>
      <c r="U18" s="6"/>
      <c r="V18" s="6"/>
      <c r="W18" s="6"/>
      <c r="X18" s="7"/>
    </row>
    <row r="19" spans="9:24" x14ac:dyDescent="0.3">
      <c r="S19" s="5" t="s">
        <v>16</v>
      </c>
      <c r="T19" s="6"/>
      <c r="U19" s="6"/>
      <c r="V19" s="6"/>
      <c r="W19" s="6"/>
      <c r="X19" s="7"/>
    </row>
    <row r="20" spans="9:24" x14ac:dyDescent="0.3">
      <c r="I20" s="1"/>
      <c r="S20" s="11"/>
      <c r="T20" s="12"/>
      <c r="U20" s="12"/>
      <c r="V20" s="12"/>
      <c r="W20" s="12"/>
      <c r="X20" s="13"/>
    </row>
    <row r="21" spans="9:24" x14ac:dyDescent="0.3">
      <c r="I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2026-02-17T04:17:11Z</dcterms:created>
  <dcterms:modified xsi:type="dcterms:W3CDTF">2026-02-24T20:16:06Z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