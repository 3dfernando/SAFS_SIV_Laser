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0 - Zigunov\02 - Projects\2025 - SAFS Self-Aligned Focusing Schlieren\03 - Laser Diode Driver UCSB\SAFS_SIV_Laser\"/>
    </mc:Choice>
  </mc:AlternateContent>
  <xr:revisionPtr revIDLastSave="0" documentId="13_ncr:1_{87BEC0E8-09A5-43CE-BAAB-78E77C943CB9}" xr6:coauthVersionLast="47" xr6:coauthVersionMax="47" xr10:uidLastSave="{00000000-0000-0000-0000-000000000000}"/>
  <bookViews>
    <workbookView xWindow="-28920" yWindow="-120" windowWidth="29040" windowHeight="15225" xr2:uid="{7947FB3E-6B0A-4175-8A21-692621A5A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9" i="1"/>
  <c r="D30" i="1"/>
  <c r="D31" i="1"/>
  <c r="D34" i="1"/>
  <c r="D27" i="1"/>
  <c r="D21" i="1"/>
  <c r="D5" i="1"/>
  <c r="D6" i="1"/>
  <c r="D10" i="1"/>
  <c r="D24" i="1"/>
  <c r="D13" i="1"/>
  <c r="D12" i="1"/>
  <c r="D20" i="1"/>
  <c r="D33" i="1"/>
  <c r="D26" i="1"/>
  <c r="D23" i="1"/>
  <c r="D11" i="1"/>
  <c r="D17" i="1"/>
  <c r="D19" i="1"/>
  <c r="D22" i="1"/>
  <c r="D18" i="1"/>
  <c r="D14" i="1"/>
  <c r="D7" i="1"/>
  <c r="D16" i="1"/>
  <c r="D15" i="1"/>
  <c r="D4" i="1"/>
  <c r="D8" i="1"/>
  <c r="D9" i="1"/>
  <c r="D32" i="1"/>
  <c r="D25" i="1"/>
  <c r="D2" i="1" l="1"/>
  <c r="D3" i="1"/>
  <c r="D36" i="1" l="1"/>
</calcChain>
</file>

<file path=xl/sharedStrings.xml><?xml version="1.0" encoding="utf-8"?>
<sst xmlns="http://schemas.openxmlformats.org/spreadsheetml/2006/main" count="72" uniqueCount="72">
  <si>
    <t>Description</t>
  </si>
  <si>
    <t>Qty</t>
  </si>
  <si>
    <t>Price/ea</t>
  </si>
  <si>
    <t>Price total</t>
  </si>
  <si>
    <t>Link</t>
  </si>
  <si>
    <t>Grand Total</t>
  </si>
  <si>
    <t>https://www.digikey.com/en/products/detail/vishay-vitramon/VJ1210A470JXGAT5Z/1559967</t>
  </si>
  <si>
    <t>C2,C3,C4,C5,C6,C7 - 47p</t>
  </si>
  <si>
    <t>https://www.digikey.com/en/products/detail/amphenol-rf/132134-10/3125418</t>
  </si>
  <si>
    <t>SMA Connector</t>
  </si>
  <si>
    <t>SMA/BNC Cable</t>
  </si>
  <si>
    <t>https://www.digikey.com/en/products/detail/crystek-corporation/CCBNS-MM-RG174-18/1964572</t>
  </si>
  <si>
    <t>https://www.digikey.com/en/products/detail/tdk-corporation/C4532X7R2J104K230KA/789694?s=N4IgTCBcDaICxwKwFowGYAMHkEZkDkARAHQBcQBdAXyA</t>
  </si>
  <si>
    <t>https://www.digikey.com/en/products/detail/kyocera-avx/2220CC105KAZ2A/11568650?s=N4IgTCBcDaICwHYAcBaA0gcQGIFYcBEAlBMAKQEYAGHNANQGEAVFAOXxAF0BfIA</t>
  </si>
  <si>
    <t>https://www.digikey.com/en/products/detail/samsung-electro-mechanics/CL10B105KP8NNNC/3887604?s=N4IgTCBcDaIIxgOwDYC0cCcAWNdUDkARAHQBcQBdAXyA</t>
  </si>
  <si>
    <t>https://www.digikey.com/en/products/detail/kemet/C0603C102K5RACTU/411081?s=N4IgTCBcDaIMwE4EFoDCAGAbOuqCM6YA0gKwBKAgqgCoCqNyAcgCIgC6AvkA</t>
  </si>
  <si>
    <t>https://www.digikey.com/en/products/detail/murata-electronics/GRM55DR72J224KW01L/789368?s=N4IgTCBcDaICwE4AMBaAzAVjKgjCgcgCIA6ALiALoC%2BQA</t>
  </si>
  <si>
    <t>C20,C21 - 220n</t>
  </si>
  <si>
    <t>C1 - 10n</t>
  </si>
  <si>
    <t>https://www.digikey.com/en/products/detail/johanson-dielectrics-inc/VPDF102W103K1GV001E/1557829?s=N4IgTCBcDaIOwAYCcBaAagBQCIDECMCYA6gQMwDSeA4mggngKIDCAKigHJYA6ALiALoBfIA</t>
  </si>
  <si>
    <t>C14 - 220n</t>
  </si>
  <si>
    <t>https://www.digikey.com/en/products/detail/murata-electronics/GCM188R71H224KA64D/2123158?s=N4IgTCBcDaICwE4AMBaArHJYUEYUDkARAHQBcQBdAXyA</t>
  </si>
  <si>
    <t>https://www.digikey.com/en/products/detail/kyocera-avx/22201C106MAT2A/5431507?s=N4IgTCBcDaICwHYAcBaA0gcQLIFYcBEAlBMAQQEYAGANiwDUBhAFRQDl8AdAFxAF0BfIA</t>
  </si>
  <si>
    <t>https://www.digikey.com/en/products/detail/vishay-dale-thin-film/FC0603E50R0BTBST1/1769753?s=N4IgTCBcDaIOwDYAsBaAYgYQAwKwZgFEBWLAJSwCEAVCgZSoEYMqUA5AERAF0BfIA</t>
  </si>
  <si>
    <t>https://www.digikey.com/en/products/detail/stackpole-electronics-inc/RMCF0603JT10K0/1758104?s=N4IgTCBcDaIEoFkDCAxADANjQZgFIBUBGNAaTSXwFoA5AEQB0AXEAXQF8g</t>
  </si>
  <si>
    <t>R1 - 1.2k</t>
  </si>
  <si>
    <t>R23 - 107k</t>
  </si>
  <si>
    <t>https://www.digikey.com/en/products/detail/yageo/RC0603FR-07107KL/726895?s=N4IgTCBcDaIMwEYEFoEAYDsBpAEgJQGEAVZAOQBEAdAFxAF0BfIA</t>
  </si>
  <si>
    <t>https://www.digikey.com/en/products/detail/yageo/RC0603FR-0784K5L/727408?s=N4IgTCBcDaIMwEYEFoAcAWAdAVgNIAkAlAYQBVkA5AEQB0AXEAXQF8g</t>
  </si>
  <si>
    <t>R24 - 84.5k</t>
  </si>
  <si>
    <t>R25 - 1M</t>
  </si>
  <si>
    <t>https://www.digikey.com/en/products/detail/koa-speer-electronics-inc/RN73H1JTTD1004B25/10675094?s=N4IgTCBcDa4AwEYCcBaASgOQOwGYASCAUgCrEAiCccALAEJgCsAwsShmQDoAuIAugL5A</t>
  </si>
  <si>
    <t>L1 - 10u</t>
  </si>
  <si>
    <t>https://www.digikey.com/en/products/detail/w%C3%BCrth-elektronik/74437324100/2791051?s=N4IgTCBcDaIOwGYwFoFoGzIIzIHIBEAdAFxAF0BfIA</t>
  </si>
  <si>
    <t>D2, D3, D4, D5, D6 - DFLS1150</t>
  </si>
  <si>
    <t>https://www.digikey.com/en/products/detail/diodes-incorporated/DFLS1150Q-7/6110470?s=N4IgTCBcDaICIDEAyBlAjGgrABgIoFoB2OASQGEAVfAOTgB0AXEAXQF8g</t>
  </si>
  <si>
    <t>D1 - S3MB-13F</t>
  </si>
  <si>
    <t>https://www.digikey.com/en/products/detail/diodes-incorporated/S3MB-13-F/755456</t>
  </si>
  <si>
    <t>U1 - LT8365</t>
  </si>
  <si>
    <t>https://www.digikey.com/en/products/detail/analog-devices-inc/LT8365EMSE-TRPBF/11586903?s=N4IgTCBcDaIKwAY4FoAyAVAHAZgGxwFEBZAZQIGJ0AlABQCEAxAYXWQDkARAHQBcQBdAL5A</t>
  </si>
  <si>
    <t>RV1 - 50k</t>
  </si>
  <si>
    <t>https://www.digikey.com/en/products/detail/bourns-inc/3314J-1-503E/86658?s=N4IgTCBcDaIMxwIwBYBSBaArABjgUQGEAVdAOQBEAdAFxAF0BfIA</t>
  </si>
  <si>
    <t>RV1 - 10k</t>
  </si>
  <si>
    <t>https://www.digikey.com/en/products/detail/bourns-inc/3314J-1-103E/86580?s=N4IgTCBcDaIMxwIwBYBSBaRAGOBRAwgCroByAIgDoAuIAugL5A</t>
  </si>
  <si>
    <t>J2 - Jack 2.0x5.5mm</t>
  </si>
  <si>
    <t>https://www.digikey.com/en/products/detail/w%C3%BCrth-elektronik/694106106102/5047822?s=N4IgTCBcDaIOwGYwFoCsBOM7kEZkDkARAHQBcQBdAXyA</t>
  </si>
  <si>
    <t>https://barnettunlimited.com/product/nubm44u/</t>
  </si>
  <si>
    <t>https://www.digikey.com/en/products/detail/stackpole-electronics-inc/RMCF1206FT4R70/1759916</t>
  </si>
  <si>
    <t>https://www.digikey.com/en/products/detail/te-connectivity-passive-product/35221K2JT/5245016</t>
  </si>
  <si>
    <t>https://www.digikey.com/en/products/detail/te-connectivity-passive-product/352220RFT/5245035</t>
  </si>
  <si>
    <t>https://www.digikey.com/en/products/detail/yageo/RC1210FR-07470RL/5919610</t>
  </si>
  <si>
    <t>https://www.digikey.com/en/products/detail/yageo/RL1206JR-070R4L/5925149</t>
  </si>
  <si>
    <t>IC1 - UCC24742p</t>
  </si>
  <si>
    <t>https://www.digikey.com/en/products/detail/texas-instruments/UCC27424P/603254?s=N4IgTCBcDaIKoGEFgOwBYxoAogLoF8g</t>
  </si>
  <si>
    <t>Q5 - STP45N65M5</t>
  </si>
  <si>
    <t>https://www.digikey.com/en/products/detail/stmicroelectronics/STP45N65M5/3088028?s=N4IgTCBcDaIMoBUAKAWArAOQGxoLJpAF0BfIA</t>
  </si>
  <si>
    <t>C16 - 1u</t>
  </si>
  <si>
    <t>R27 - 5.1k</t>
  </si>
  <si>
    <t>https://www.digikey.com/en/products/detail/stackpole-electronics-inc/RMCF0603FT5K10/1760908</t>
  </si>
  <si>
    <t>C15 - 1n</t>
  </si>
  <si>
    <t>C19 - 100n</t>
  </si>
  <si>
    <t>C18 - 1u</t>
  </si>
  <si>
    <t>C8, C17 - 10u</t>
  </si>
  <si>
    <t>LD1 - NUBM-44</t>
  </si>
  <si>
    <t>R5, R6, R7, R28- 4.7 Ohm</t>
  </si>
  <si>
    <t>R14, R19 - 50 Ohm</t>
  </si>
  <si>
    <t>R26 - 20 Ohm</t>
  </si>
  <si>
    <t>R8 - 470 Ohm</t>
  </si>
  <si>
    <t>R2, R3, R4, R12 - 0.4 Ohm</t>
  </si>
  <si>
    <t>R20 - 10k</t>
  </si>
  <si>
    <t>https://www.digikey.com/en/products/detail/diodes-incorporated/ZTX415/190185?s=N4IgTCBcDaIFoBUAaAWAjAVgLQDkAiIAugL5A</t>
  </si>
  <si>
    <t>Q1, Q2, Q3, Q4 - ZTX415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</si>
</sst>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2"/>
    <xf numFmtId="44" fontId="0" fillId="0" borderId="0" xfId="1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44" fontId="0" fillId="2" borderId="2" xfId="1" applyFont="1" applyFill="1" applyBorder="1"/>
    <xf numFmtId="44" fontId="2" fillId="0" borderId="0" xfId="2" applyNumberFormat="1"/>
    <xf numFmtId="0" fontId="2" fillId="0" borderId="0" xfId="2" applyFill="1" applyBorder="1"/>
    <xf numFmtId="0" fontId="0" fillId="0" borderId="0" xfId="0" applyFill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yageo/RL1206JR-070R4L/5925149" TargetMode="External"/><Relationship Id="rId3" Type="http://schemas.openxmlformats.org/officeDocument/2006/relationships/hyperlink" Target="https://barnettunlimited.com/product/nubm44u/" TargetMode="External"/><Relationship Id="rId7" Type="http://schemas.openxmlformats.org/officeDocument/2006/relationships/hyperlink" Target="https://www.digikey.com/en/products/detail/yageo/RC1210FR-07470RL/5919610" TargetMode="External"/><Relationship Id="rId2" Type="http://schemas.openxmlformats.org/officeDocument/2006/relationships/hyperlink" Target="https://www.digikey.com/en/products/detail/w%C3%BCrth-elektronik/694106106102/5047822?s=N4IgTCBcDaIOwGYwFoCsBOM7kEZkDkARAHQBcQBdAXyA" TargetMode="External"/><Relationship Id="rId1" Type="http://schemas.openxmlformats.org/officeDocument/2006/relationships/hyperlink" Target="https://www.digikey.com/en/products/detail/vishay-vitramon/VJ1210A470JXGAT5Z/1559967" TargetMode="External"/><Relationship Id="rId6" Type="http://schemas.openxmlformats.org/officeDocument/2006/relationships/hyperlink" Target="https://www.digikey.com/en/products/detail/te-connectivity-passive-product/352220RFT/5245035" TargetMode="External"/><Relationship Id="rId5" Type="http://schemas.openxmlformats.org/officeDocument/2006/relationships/hyperlink" Target="https://www.digikey.com/en/products/detail/te-connectivity-passive-product/35221K2JT/5245016" TargetMode="External"/><Relationship Id="rId4" Type="http://schemas.openxmlformats.org/officeDocument/2006/relationships/hyperlink" Target="https://www.digikey.com/en/products/detail/stackpole-electronics-inc/RMCF1206FT4R70/1759916" TargetMode="External"/><Relationship Id="rId9" Type="http://schemas.openxmlformats.org/officeDocument/2006/relationships/hyperlink" Target="https://www.digikey.com/en/products/detail/diodes-incorporated/ZTX415/190185?s=N4IgTCBcDaIFoBUAaAWAjAVgLQDkAiIAugL5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8096-62FF-4B3A-B455-132413603466}">
  <dimension ref="A1:E46"/>
  <sheetViews>
    <sheetView tabSelected="1" zoomScale="115" zoomScaleNormal="115" workbookViewId="0">
      <selection activeCell="D22" sqref="D22"/>
    </sheetView>
  </sheetViews>
  <sheetFormatPr defaultRowHeight="14.4" x14ac:dyDescent="0.3"/>
  <cols>
    <col min="1" max="1" width="41.88671875" customWidth="1"/>
    <col min="3" max="3" width="10.5546875" customWidth="1"/>
    <col min="4" max="4" width="13.77734375" customWidth="1"/>
  </cols>
  <sheetData>
    <row r="1" spans="1:5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3">
      <c r="A2" t="s">
        <v>7</v>
      </c>
      <c r="B2">
        <v>6</v>
      </c>
      <c r="C2" s="2">
        <v>1.77</v>
      </c>
      <c r="D2" s="2">
        <f t="shared" ref="D2:D3" si="0">C2*B2</f>
        <v>10.620000000000001</v>
      </c>
      <c r="E2" s="1" t="s">
        <v>6</v>
      </c>
    </row>
    <row r="3" spans="1:5" x14ac:dyDescent="0.3">
      <c r="A3" t="s">
        <v>9</v>
      </c>
      <c r="B3">
        <v>2</v>
      </c>
      <c r="C3" s="2">
        <v>6.95</v>
      </c>
      <c r="D3" s="2">
        <f t="shared" si="0"/>
        <v>13.9</v>
      </c>
      <c r="E3" s="1" t="s">
        <v>8</v>
      </c>
    </row>
    <row r="4" spans="1:5" x14ac:dyDescent="0.3">
      <c r="A4" t="s">
        <v>10</v>
      </c>
      <c r="B4">
        <v>2</v>
      </c>
      <c r="C4" s="2">
        <v>15.48</v>
      </c>
      <c r="D4" s="2">
        <f t="shared" ref="D4:D10" si="1">C4*B4</f>
        <v>30.96</v>
      </c>
      <c r="E4" s="1" t="s">
        <v>11</v>
      </c>
    </row>
    <row r="5" spans="1:5" x14ac:dyDescent="0.3">
      <c r="A5" t="s">
        <v>52</v>
      </c>
      <c r="B5" s="9">
        <v>1</v>
      </c>
      <c r="C5" s="2">
        <v>1.62</v>
      </c>
      <c r="D5" s="2">
        <f t="shared" si="1"/>
        <v>1.62</v>
      </c>
      <c r="E5" s="1" t="s">
        <v>53</v>
      </c>
    </row>
    <row r="6" spans="1:5" x14ac:dyDescent="0.3">
      <c r="A6" t="s">
        <v>54</v>
      </c>
      <c r="B6" s="9">
        <v>1</v>
      </c>
      <c r="C6" s="2">
        <v>8.5299999999999994</v>
      </c>
      <c r="D6" s="2">
        <f t="shared" si="1"/>
        <v>8.5299999999999994</v>
      </c>
      <c r="E6" s="1" t="s">
        <v>55</v>
      </c>
    </row>
    <row r="7" spans="1:5" x14ac:dyDescent="0.3">
      <c r="A7" t="s">
        <v>56</v>
      </c>
      <c r="B7">
        <v>1</v>
      </c>
      <c r="C7" s="2">
        <v>0.08</v>
      </c>
      <c r="D7" s="2">
        <f>C7*B7</f>
        <v>0.08</v>
      </c>
      <c r="E7" s="1" t="s">
        <v>14</v>
      </c>
    </row>
    <row r="8" spans="1:5" x14ac:dyDescent="0.3">
      <c r="A8" t="s">
        <v>30</v>
      </c>
      <c r="B8">
        <v>1</v>
      </c>
      <c r="C8" s="2">
        <v>0.11</v>
      </c>
      <c r="D8" s="2">
        <f>C8*B8</f>
        <v>0.11</v>
      </c>
      <c r="E8" s="1" t="s">
        <v>31</v>
      </c>
    </row>
    <row r="9" spans="1:5" x14ac:dyDescent="0.3">
      <c r="A9" t="s">
        <v>29</v>
      </c>
      <c r="B9">
        <v>1</v>
      </c>
      <c r="C9" s="2">
        <v>0.1</v>
      </c>
      <c r="D9" s="2">
        <f>C9*B9</f>
        <v>0.1</v>
      </c>
      <c r="E9" s="1" t="s">
        <v>28</v>
      </c>
    </row>
    <row r="10" spans="1:5" x14ac:dyDescent="0.3">
      <c r="A10" t="s">
        <v>57</v>
      </c>
      <c r="B10">
        <v>1</v>
      </c>
      <c r="C10" s="2">
        <v>0.1</v>
      </c>
      <c r="D10" s="2">
        <f t="shared" si="1"/>
        <v>0.1</v>
      </c>
      <c r="E10" s="1" t="s">
        <v>58</v>
      </c>
    </row>
    <row r="11" spans="1:5" x14ac:dyDescent="0.3">
      <c r="A11" t="s">
        <v>26</v>
      </c>
      <c r="B11">
        <v>1</v>
      </c>
      <c r="C11" s="2">
        <v>0.1</v>
      </c>
      <c r="D11" s="2">
        <f t="shared" ref="D11:D27" si="2">C11*B11</f>
        <v>0.1</v>
      </c>
      <c r="E11" s="1" t="s">
        <v>27</v>
      </c>
    </row>
    <row r="12" spans="1:5" x14ac:dyDescent="0.3">
      <c r="A12" t="s">
        <v>40</v>
      </c>
      <c r="B12">
        <v>1</v>
      </c>
      <c r="C12" s="2">
        <v>1.58</v>
      </c>
      <c r="D12" s="2">
        <f t="shared" si="2"/>
        <v>1.58</v>
      </c>
      <c r="E12" s="1" t="s">
        <v>41</v>
      </c>
    </row>
    <row r="13" spans="1:5" x14ac:dyDescent="0.3">
      <c r="A13" t="s">
        <v>42</v>
      </c>
      <c r="B13">
        <v>1</v>
      </c>
      <c r="C13" s="2">
        <v>1.58</v>
      </c>
      <c r="D13" s="2">
        <f t="shared" si="2"/>
        <v>1.58</v>
      </c>
      <c r="E13" s="1" t="s">
        <v>43</v>
      </c>
    </row>
    <row r="14" spans="1:5" x14ac:dyDescent="0.3">
      <c r="A14" t="s">
        <v>59</v>
      </c>
      <c r="B14">
        <v>1</v>
      </c>
      <c r="C14" s="2">
        <v>0.08</v>
      </c>
      <c r="D14" s="2">
        <f t="shared" si="2"/>
        <v>0.08</v>
      </c>
      <c r="E14" s="1" t="s">
        <v>15</v>
      </c>
    </row>
    <row r="15" spans="1:5" x14ac:dyDescent="0.3">
      <c r="A15" t="s">
        <v>60</v>
      </c>
      <c r="B15">
        <v>1</v>
      </c>
      <c r="C15" s="2">
        <v>0.71</v>
      </c>
      <c r="D15" s="2">
        <f t="shared" si="2"/>
        <v>0.71</v>
      </c>
      <c r="E15" s="1" t="s">
        <v>12</v>
      </c>
    </row>
    <row r="16" spans="1:5" x14ac:dyDescent="0.3">
      <c r="A16" t="s">
        <v>61</v>
      </c>
      <c r="B16">
        <v>1</v>
      </c>
      <c r="C16" s="2">
        <v>2.85</v>
      </c>
      <c r="D16" s="2">
        <f t="shared" si="2"/>
        <v>2.85</v>
      </c>
      <c r="E16" s="1" t="s">
        <v>13</v>
      </c>
    </row>
    <row r="17" spans="1:5" x14ac:dyDescent="0.3">
      <c r="A17" t="s">
        <v>62</v>
      </c>
      <c r="B17">
        <v>2</v>
      </c>
      <c r="C17" s="2">
        <v>1.89</v>
      </c>
      <c r="D17" s="2">
        <f t="shared" si="2"/>
        <v>3.78</v>
      </c>
      <c r="E17" s="1" t="s">
        <v>22</v>
      </c>
    </row>
    <row r="18" spans="1:5" x14ac:dyDescent="0.3">
      <c r="A18" t="s">
        <v>17</v>
      </c>
      <c r="B18">
        <v>2</v>
      </c>
      <c r="C18" s="2">
        <v>1</v>
      </c>
      <c r="D18" s="2">
        <f t="shared" si="2"/>
        <v>2</v>
      </c>
      <c r="E18" s="1" t="s">
        <v>16</v>
      </c>
    </row>
    <row r="19" spans="1:5" x14ac:dyDescent="0.3">
      <c r="A19" t="s">
        <v>20</v>
      </c>
      <c r="B19">
        <v>1</v>
      </c>
      <c r="C19" s="2">
        <v>0.15</v>
      </c>
      <c r="D19" s="2">
        <f t="shared" si="2"/>
        <v>0.15</v>
      </c>
      <c r="E19" s="1" t="s">
        <v>21</v>
      </c>
    </row>
    <row r="20" spans="1:5" x14ac:dyDescent="0.3">
      <c r="A20" t="s">
        <v>38</v>
      </c>
      <c r="B20">
        <v>1</v>
      </c>
      <c r="C20" s="2">
        <v>7.69</v>
      </c>
      <c r="D20" s="2">
        <f t="shared" si="2"/>
        <v>7.69</v>
      </c>
      <c r="E20" s="1" t="s">
        <v>39</v>
      </c>
    </row>
    <row r="21" spans="1:5" x14ac:dyDescent="0.3">
      <c r="A21" t="s">
        <v>63</v>
      </c>
      <c r="B21">
        <v>1</v>
      </c>
      <c r="C21" s="2">
        <v>24.95</v>
      </c>
      <c r="D21" s="2">
        <f t="shared" si="2"/>
        <v>24.95</v>
      </c>
      <c r="E21" s="1" t="s">
        <v>46</v>
      </c>
    </row>
    <row r="22" spans="1:5" x14ac:dyDescent="0.3">
      <c r="A22" t="s">
        <v>18</v>
      </c>
      <c r="B22">
        <v>1</v>
      </c>
      <c r="C22" s="2">
        <v>0.38</v>
      </c>
      <c r="D22" s="2">
        <f t="shared" si="2"/>
        <v>0.38</v>
      </c>
      <c r="E22" s="1" t="s">
        <v>19</v>
      </c>
    </row>
    <row r="23" spans="1:5" x14ac:dyDescent="0.3">
      <c r="A23" t="s">
        <v>32</v>
      </c>
      <c r="B23">
        <v>1</v>
      </c>
      <c r="C23" s="2">
        <v>2.35</v>
      </c>
      <c r="D23" s="2">
        <f t="shared" si="2"/>
        <v>2.35</v>
      </c>
      <c r="E23" s="1" t="s">
        <v>33</v>
      </c>
    </row>
    <row r="24" spans="1:5" x14ac:dyDescent="0.3">
      <c r="A24" t="s">
        <v>44</v>
      </c>
      <c r="B24">
        <v>1</v>
      </c>
      <c r="C24" s="2">
        <v>1.8</v>
      </c>
      <c r="D24" s="2">
        <f t="shared" si="2"/>
        <v>1.8</v>
      </c>
      <c r="E24" s="7" t="s">
        <v>45</v>
      </c>
    </row>
    <row r="25" spans="1:5" x14ac:dyDescent="0.3">
      <c r="A25" t="s">
        <v>65</v>
      </c>
      <c r="B25">
        <v>2</v>
      </c>
      <c r="C25" s="2">
        <v>1.58</v>
      </c>
      <c r="D25" s="2">
        <f t="shared" si="2"/>
        <v>3.16</v>
      </c>
      <c r="E25" s="1" t="s">
        <v>23</v>
      </c>
    </row>
    <row r="26" spans="1:5" x14ac:dyDescent="0.3">
      <c r="A26" t="s">
        <v>34</v>
      </c>
      <c r="B26">
        <v>5</v>
      </c>
      <c r="C26" s="2">
        <v>0.38</v>
      </c>
      <c r="D26" s="2">
        <f t="shared" si="2"/>
        <v>1.9</v>
      </c>
      <c r="E26" s="1" t="s">
        <v>35</v>
      </c>
    </row>
    <row r="27" spans="1:5" x14ac:dyDescent="0.3">
      <c r="A27" t="s">
        <v>64</v>
      </c>
      <c r="B27">
        <v>4</v>
      </c>
      <c r="C27" s="2">
        <v>0.1</v>
      </c>
      <c r="D27" s="2">
        <f t="shared" si="2"/>
        <v>0.4</v>
      </c>
      <c r="E27" s="1" t="s">
        <v>47</v>
      </c>
    </row>
    <row r="28" spans="1:5" x14ac:dyDescent="0.3">
      <c r="A28" t="s">
        <v>25</v>
      </c>
      <c r="B28">
        <v>1</v>
      </c>
      <c r="C28" s="2">
        <v>0.76</v>
      </c>
      <c r="D28" s="2">
        <f t="shared" ref="D28:D34" si="3">C28*B28</f>
        <v>0.76</v>
      </c>
      <c r="E28" s="8" t="s">
        <v>48</v>
      </c>
    </row>
    <row r="29" spans="1:5" x14ac:dyDescent="0.3">
      <c r="A29" t="s">
        <v>66</v>
      </c>
      <c r="B29">
        <v>1</v>
      </c>
      <c r="C29" s="2">
        <v>1.1399999999999999</v>
      </c>
      <c r="D29" s="2">
        <f t="shared" si="3"/>
        <v>1.1399999999999999</v>
      </c>
      <c r="E29" s="1" t="s">
        <v>49</v>
      </c>
    </row>
    <row r="30" spans="1:5" x14ac:dyDescent="0.3">
      <c r="A30" t="s">
        <v>67</v>
      </c>
      <c r="B30">
        <v>1</v>
      </c>
      <c r="C30" s="2">
        <v>0.1</v>
      </c>
      <c r="D30" s="2">
        <f t="shared" si="3"/>
        <v>0.1</v>
      </c>
      <c r="E30" s="1" t="s">
        <v>50</v>
      </c>
    </row>
    <row r="31" spans="1:5" x14ac:dyDescent="0.3">
      <c r="A31" t="s">
        <v>68</v>
      </c>
      <c r="B31">
        <v>4</v>
      </c>
      <c r="C31" s="2">
        <v>0.15</v>
      </c>
      <c r="D31" s="2">
        <f t="shared" si="3"/>
        <v>0.6</v>
      </c>
      <c r="E31" s="1" t="s">
        <v>51</v>
      </c>
    </row>
    <row r="32" spans="1:5" x14ac:dyDescent="0.3">
      <c r="A32" t="s">
        <v>69</v>
      </c>
      <c r="B32">
        <v>1</v>
      </c>
      <c r="C32" s="2">
        <v>0.1</v>
      </c>
      <c r="D32" s="2">
        <f>C32*B32</f>
        <v>0.1</v>
      </c>
      <c r="E32" s="1" t="s">
        <v>24</v>
      </c>
    </row>
    <row r="33" spans="1:5" x14ac:dyDescent="0.3">
      <c r="A33" t="s">
        <v>36</v>
      </c>
      <c r="B33">
        <v>1</v>
      </c>
      <c r="C33" s="2">
        <v>0.4</v>
      </c>
      <c r="D33" s="2">
        <f>C33*B33</f>
        <v>0.4</v>
      </c>
      <c r="E33" s="1" t="s">
        <v>37</v>
      </c>
    </row>
    <row r="34" spans="1:5" x14ac:dyDescent="0.3">
      <c r="A34" t="s">
        <v>71</v>
      </c>
      <c r="B34" s="9">
        <v>4</v>
      </c>
      <c r="C34" s="2">
        <v>13.6</v>
      </c>
      <c r="D34" s="2">
        <f t="shared" si="3"/>
        <v>54.4</v>
      </c>
      <c r="E34" s="1" t="s">
        <v>70</v>
      </c>
    </row>
    <row r="35" spans="1:5" ht="15" customHeight="1" x14ac:dyDescent="0.3">
      <c r="C35" s="2"/>
      <c r="D35" s="2"/>
    </row>
    <row r="36" spans="1:5" x14ac:dyDescent="0.3">
      <c r="A36" s="3" t="s">
        <v>5</v>
      </c>
      <c r="B36" s="4"/>
      <c r="C36" s="6"/>
      <c r="D36" s="6">
        <f>SUM(D2:D35)</f>
        <v>178.97999999999996</v>
      </c>
      <c r="E36" s="5"/>
    </row>
    <row r="37" spans="1:5" x14ac:dyDescent="0.3">
      <c r="C37" s="2"/>
      <c r="D37" s="2"/>
    </row>
    <row r="38" spans="1:5" x14ac:dyDescent="0.3">
      <c r="C38" s="2"/>
      <c r="D38" s="2"/>
    </row>
    <row r="39" spans="1:5" x14ac:dyDescent="0.3">
      <c r="C39" s="2"/>
      <c r="D39" s="2"/>
    </row>
    <row r="40" spans="1:5" x14ac:dyDescent="0.3">
      <c r="C40" s="2"/>
      <c r="D40" s="2"/>
    </row>
    <row r="41" spans="1:5" x14ac:dyDescent="0.3">
      <c r="C41" s="2"/>
      <c r="D41" s="2"/>
    </row>
    <row r="42" spans="1:5" x14ac:dyDescent="0.3">
      <c r="C42" s="2"/>
      <c r="D42" s="2"/>
    </row>
    <row r="43" spans="1:5" x14ac:dyDescent="0.3">
      <c r="C43" s="2"/>
      <c r="D43" s="2"/>
    </row>
    <row r="44" spans="1:5" x14ac:dyDescent="0.3">
      <c r="C44" s="2"/>
      <c r="D44" s="2"/>
    </row>
    <row r="45" spans="1:5" x14ac:dyDescent="0.3">
      <c r="C45" s="2"/>
      <c r="D45" s="2"/>
    </row>
    <row r="46" spans="1:5" x14ac:dyDescent="0.3">
      <c r="C46" s="2"/>
      <c r="D46" s="2"/>
    </row>
  </sheetData>
  <hyperlinks>
    <hyperlink ref="E2" r:id="rId1" xr:uid="{4E919B18-62BC-461A-AA7A-0223C9B1D3EC}"/>
    <hyperlink ref="E24" r:id="rId2" xr:uid="{8C512DE7-DF72-4603-A5D8-80E66EDE0E9D}"/>
    <hyperlink ref="E21" r:id="rId3" xr:uid="{1D99C42A-12D3-4555-A372-A0F4DDED244D}"/>
    <hyperlink ref="E27" r:id="rId4" xr:uid="{DC68F022-877F-4A66-A748-A3B6B2E3320A}"/>
    <hyperlink ref="E28" r:id="rId5" xr:uid="{9EE67102-81ED-4204-980A-5544706C4E8C}"/>
    <hyperlink ref="E29" r:id="rId6" xr:uid="{F9A61AD0-B629-461A-8CAB-7FF7F15E4070}"/>
    <hyperlink ref="E30" r:id="rId7" xr:uid="{A84D03F1-E2E6-4632-BFBA-13F03BA64BB6}"/>
    <hyperlink ref="E31" r:id="rId8" xr:uid="{97597A90-9CF5-4260-BA55-31454FB7DA5B}"/>
    <hyperlink ref="E34" r:id="rId9" xr:uid="{F8007675-54B2-473F-A6FD-49ACD21008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Zigunov</dc:creator>
  <cp:lastModifiedBy>Fernando Zigunov</cp:lastModifiedBy>
  <dcterms:created xsi:type="dcterms:W3CDTF">2024-02-02T19:39:22Z</dcterms:created>
  <dcterms:modified xsi:type="dcterms:W3CDTF">2026-03-06T03:22:39Z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