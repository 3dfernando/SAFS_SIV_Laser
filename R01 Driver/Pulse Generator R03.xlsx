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0 - Zigunov\02 - Projects\2025 - SAFS Self-Aligned Focusing Schlieren\03 - Laser Diode Driver UCSB\SAFS_SIV_Laser_R01\"/>
    </mc:Choice>
  </mc:AlternateContent>
  <xr:revisionPtr revIDLastSave="0" documentId="13_ncr:1_{E9D9D5F7-A991-4EAD-B09C-DBADEDF23D6B}" xr6:coauthVersionLast="47" xr6:coauthVersionMax="47" xr10:uidLastSave="{00000000-0000-0000-0000-000000000000}"/>
  <bookViews>
    <workbookView xWindow="-28920" yWindow="-120" windowWidth="29040" windowHeight="15225" xr2:uid="{7947FB3E-6B0A-4175-8A21-692621A5A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15" i="1"/>
  <c r="D4" i="1"/>
  <c r="D28" i="1"/>
  <c r="D29" i="1"/>
  <c r="D30" i="1"/>
  <c r="D33" i="1"/>
  <c r="D26" i="1"/>
  <c r="D20" i="1"/>
  <c r="D5" i="1"/>
  <c r="D6" i="1"/>
  <c r="D8" i="1"/>
  <c r="D23" i="1"/>
  <c r="D11" i="1"/>
  <c r="D10" i="1"/>
  <c r="D19" i="1"/>
  <c r="D32" i="1"/>
  <c r="D25" i="1"/>
  <c r="D22" i="1"/>
  <c r="D9" i="1"/>
  <c r="D16" i="1"/>
  <c r="D18" i="1"/>
  <c r="D21" i="1"/>
  <c r="D17" i="1"/>
  <c r="D12" i="1"/>
  <c r="D14" i="1"/>
  <c r="D13" i="1"/>
  <c r="D3" i="1"/>
  <c r="D7" i="1"/>
  <c r="D31" i="1"/>
  <c r="D24" i="1"/>
  <c r="D2" i="1" l="1"/>
  <c r="D35" i="1" l="1"/>
</calcChain>
</file>

<file path=xl/sharedStrings.xml><?xml version="1.0" encoding="utf-8"?>
<sst xmlns="http://schemas.openxmlformats.org/spreadsheetml/2006/main" count="102" uniqueCount="101">
  <si>
    <t>Description</t>
  </si>
  <si>
    <t>Qty</t>
  </si>
  <si>
    <t>Price/ea</t>
  </si>
  <si>
    <t>Price total</t>
  </si>
  <si>
    <t>Link</t>
  </si>
  <si>
    <t>Grand Total</t>
  </si>
  <si>
    <t>https://www.digikey.com/en/products/detail/vishay-vitramon/VJ1210A470JXGAT5Z/1559967</t>
  </si>
  <si>
    <t>https://www.digikey.com/en/products/detail/diodes-incorporated/S3MB-13-F/755456</t>
  </si>
  <si>
    <t>R1;R3</t>
  </si>
  <si>
    <t>IC1</t>
  </si>
  <si>
    <t>C10</t>
  </si>
  <si>
    <t>R14;R19</t>
  </si>
  <si>
    <t>R6</t>
  </si>
  <si>
    <t>R10</t>
  </si>
  <si>
    <t>R9</t>
  </si>
  <si>
    <t>C5</t>
  </si>
  <si>
    <t>RV1</t>
  </si>
  <si>
    <t>RV2</t>
  </si>
  <si>
    <t>C1</t>
  </si>
  <si>
    <t>C2;C6</t>
  </si>
  <si>
    <t>C4;C7</t>
  </si>
  <si>
    <t>C9</t>
  </si>
  <si>
    <t>Q1;Q2</t>
  </si>
  <si>
    <t>U1</t>
  </si>
  <si>
    <t>D5;D9</t>
  </si>
  <si>
    <t>C18;C25</t>
  </si>
  <si>
    <t>C12;C13;C14;C15;C16;C17;C19;C20;C21;C22;C23;C24</t>
  </si>
  <si>
    <t>L1</t>
  </si>
  <si>
    <t>J2</t>
  </si>
  <si>
    <t>R11;R12;R16;R17</t>
  </si>
  <si>
    <t>D1;D2;D3;D6;D7;D10;D11</t>
  </si>
  <si>
    <t>LD1</t>
  </si>
  <si>
    <t>R8</t>
  </si>
  <si>
    <t>R2;R5</t>
  </si>
  <si>
    <t>D4;D8</t>
  </si>
  <si>
    <t>DIGIKEY_PN</t>
  </si>
  <si>
    <t>118-CHP2512AFX-10R0ELFCT-ND</t>
  </si>
  <si>
    <t>1212-1003-ND</t>
  </si>
  <si>
    <t>1276-1946-1-ND</t>
  </si>
  <si>
    <t>13-RC1210FR-07470RLCT-ND</t>
  </si>
  <si>
    <t>132134-10</t>
  </si>
  <si>
    <t>2019-RN73H1JTTD1004B25CT-ND</t>
  </si>
  <si>
    <t>311-84.5KHRCT-ND</t>
  </si>
  <si>
    <t>311-107KHRCT-ND</t>
  </si>
  <si>
    <t xml:space="preserve">311-2069-1-ND </t>
  </si>
  <si>
    <t>3314J-103ECT-ND</t>
  </si>
  <si>
    <t>3314J-503ECT-ND</t>
  </si>
  <si>
    <t>399-13490-1-ND</t>
  </si>
  <si>
    <t>399-C0603C102K5RACTUCT-ND</t>
  </si>
  <si>
    <t>445-CGA9N3X7R1H106K230KBCT-ND</t>
  </si>
  <si>
    <t>490-3520-1-ND</t>
  </si>
  <si>
    <t>490-5402-1-ND</t>
  </si>
  <si>
    <t>497-12937-5-ND</t>
  </si>
  <si>
    <t>505-LT8365EMSE#TRPBFCT-ND</t>
  </si>
  <si>
    <t>5700-FC06020E-3-ND</t>
  </si>
  <si>
    <t>709-VPDF102W103K1GV001ECT-ND</t>
  </si>
  <si>
    <t>720-1040-1-ND</t>
  </si>
  <si>
    <t>732-3336-1-ND</t>
  </si>
  <si>
    <t>732-5929-1-ND</t>
  </si>
  <si>
    <t>A121273CT-ND</t>
  </si>
  <si>
    <t>DFLS1150Q-7DICT-ND</t>
  </si>
  <si>
    <t>https://lasertree.com/products/nichia-nubb45-455nm-34w-blue-laser-diode?srsltid=AfmBOoqF-mW3C_XScfS-U66ejNufwEc36Am2Gb8ew0pu7ZENwbMttxBZ</t>
  </si>
  <si>
    <t>RMCF0603FT5K10CT-ND</t>
  </si>
  <si>
    <t>RMCF1206FT4R70CT-ND</t>
  </si>
  <si>
    <t>S3MB-FDICT-ND</t>
  </si>
  <si>
    <t>https://www.digikey.com/en/products/detail/bourns-inc/CHP2512AFX-10R0ELF/12144260?s=N4IgTCBcDaIAQEYEA4C0BhAEgBTAVgTAEEAxADVQQAYAlKgUQBkT0AVVAOQBE4QBdAL5A</t>
  </si>
  <si>
    <t>https://www.digikey.com/en/products/detail/preci-dip/110-87-308-41-001101/3757253</t>
  </si>
  <si>
    <t>296-15869-5-ND</t>
  </si>
  <si>
    <t>https://www.digikey.com/en/products/detail/texas-instruments/UCC27424P/603254</t>
  </si>
  <si>
    <t>https://www.digikey.com/en/products/detail/samsung-electro-mechanics/CL10B105KP8NNNC/3887604?s=N4IgTCBcDaIAQEYwHYBsBaBBOALBh6AcgCJwgC6AvkA</t>
  </si>
  <si>
    <t>https://www.digikey.com/en/products/detail/yageo/RC1210FR-07470RL/5919610?s=N4IgTCBcDaIAQEYDMBaASgYQWBAGAYmirgOwAsJuaAMhgCooByAInCALoC%2BQA</t>
  </si>
  <si>
    <t>https://www.digikey.com/en/products/result?s=N4IgTCBcDaIAQEYDMZkBYC0CAMcQF0BfIA</t>
  </si>
  <si>
    <t>https://www.digikey.com/en/products/detail/koa-speer-electronics-inc/RN73H1JTTD1004B25/10675094?s=N4IgTCBcDaIARgAwEYCcBaASgOQOwGYAJZAKQBUyARZRRAFgCEwBWAYTPW0rhAF0BfIA</t>
  </si>
  <si>
    <t>https://www.digikey.com/en/products/detail/yageo/RC0603FR-0784K5L/727408?s=N4IgTCBcDaIAQGYCMSC0AOALAOgKwGkAJAJQGEAVVAOQBE4QBdAXyA</t>
  </si>
  <si>
    <t>https://www.digikey.com/en/products/detail/yageo/RC0603FR-07107KL/726895?s=N4IgTCBcDaIAQGYCMSC0SAMB2A0gCQCUBhAFVQDkAROEAXQF8g</t>
  </si>
  <si>
    <t>https://www.digikey.com/en/products/detail/yageo/CC2220KKX7R9BB105/5195475</t>
  </si>
  <si>
    <t>https://www.digikey.com/en/products/detail/bourns-inc/3314J-1-103E/86580?s=N4IgTCBcDaIAQGYEEYAsApAtMgDAgogMIAqmAcgCJwgC6AvkA</t>
  </si>
  <si>
    <t>https://www.digikey.com/en/products/detail/bourns-inc/3314J-1-503E/86658?s=N4IgTCBcDaIAQGYEEYAsApAtAVgAwIFEBhAFUwDkAROEAXQF8g</t>
  </si>
  <si>
    <t>https://www.digikey.com/en/products/detail/kemet/C1210C104KBRACTU/6126195?s=N4IgTCBcDaIAQGYCcSC0BGBAWJAGDqAcgCJwgC6AvkA</t>
  </si>
  <si>
    <t>https://www.digikey.com/en/products/detail/kemet/C0603C102K5RACTU/411081?s=N4IgTCBcDaIAQGYCcSC0BhADANkw9AjJmANICsASgILoAqAqnagHIAicIAugL5A</t>
  </si>
  <si>
    <t>https://www.digikey.com/en/products/detail/tdk/CGA9N3X7R1H106K230KB/2781358?s=N4IgTCBcDaIAQBYEFYC0BhA4gQQJwDkBmADQHYAlARgAlKAGANgGkxC6mAhdAFVXwBE4IALoBfIA</t>
  </si>
  <si>
    <t>https://www.digikey.com/en/products/detail/murata-electronics/GRM55DR72J224KW01L/789368?s=N4IgTCBcDaIAQBYCcAGAtAZgKxnQRjQDkAROEAXQF8g</t>
  </si>
  <si>
    <t>https://www.digikey.com/en/products/detail/murata-electronics/GCM188R71H224KA64D/2123158?s=N4IgTCBcDaIAQBYCcAGAtAVgSsaCMaAcgCJwgC6AvkA</t>
  </si>
  <si>
    <t>https://www.digikey.com/en/products/detail/stmicroelectronics/STP45N65M5/3088028?s=N4IgTCBcDaIAQBYCcB2AtARjEgzOgrGgHIAicIAugL5A</t>
  </si>
  <si>
    <t>https://www.digikey.com/en/products/detail/analog-devices-inc/LT8365EMSE-TRPBF/11586903?s=N4IgTCBcDaIAQFYAMCC0AZAKgDgMwDYEBRAWQGUiBiTAJQAUAhAMQGFNUA5AEThAF0AvkA</t>
  </si>
  <si>
    <t>https://www.digikey.com/en/products/detail/fastsic/FC06020E-3/28310042?s=N4IgTCBcDaIAQFYDsAGFBaAYgYRQNhTBQFF0BmdAOQBE4QBdAXyA</t>
  </si>
  <si>
    <t>https://www.digikey.com/en/products/detail/johanson-dielectrics-inc/VPDF102W103K1GV001E/1557829?s=N4IgTCBcDaIAQHYAMBOAtANQAoBEBiAjEmAOpEDMA0gQOIZJIECiAwgCpoByOcIAugF8gA</t>
  </si>
  <si>
    <t>https://www.digikey.com/en/products/detail/w%C3%BCrth-elektronik/74437324100/2791051?s=N4IgTCBcDaIAQHYDMYC0SMDZUEZUDkAROEAXQF8g</t>
  </si>
  <si>
    <t>https://www.digikey.com/en/products/detail/w%C3%BCrth-elektronik/694106106102/5047822?s=N4IgTCBcDaIAQHYDMYC0BWAnGTqCMqAcgCJwgC6AvkA</t>
  </si>
  <si>
    <t>https://www.digikey.com/en/products/detail/te-connectivity-passive-product/3522560RJT/5245123?s=N4IgTCBcDaIAQEECMYUHYDMBhAKgWgDkAROEAXQF8g</t>
  </si>
  <si>
    <t>https://www.digikey.com/en/products/detail/diodes-incorporated/DFLS1150Q-7/6110470?s=N4IgTCBcDaIAQBEBiAZAygRgwVgAwEUBaAdgQEkBhAFUIDkE4QBdAXyA</t>
  </si>
  <si>
    <t>https://www.digikey.com/en/products/detail/stackpole-electronics-inc/RMCF0603FT5K10/1760908?s=N4IgTCBcDaIAQCUCyBhAYgBgGwYMxoBUBWAaQEYMUCBaAOQBE4QBdAXyA</t>
  </si>
  <si>
    <t>https://www.digikey.com/en/products/detail/stackpole-electronics-inc/RMCF1206FT4R70/1759916?s=N4IgTCBcDaIAQCUCyBhAYgRjABgGxoBUAWBAdmxQIFoA5AEThAF0BfIA</t>
  </si>
  <si>
    <t>J1;J3</t>
  </si>
  <si>
    <t>C11; C26; C27</t>
  </si>
  <si>
    <t>C3;C8</t>
  </si>
  <si>
    <t>C0603C471J5GACTU</t>
  </si>
  <si>
    <t>https://www.digikey.com/en/products/detail/kemet/C0603C471J5GACTU/2200803</t>
  </si>
  <si>
    <t>R4;R7</t>
  </si>
  <si>
    <t>CRCW0603100RFKEA</t>
  </si>
  <si>
    <t>https://www.digikey.com/en/products/detail/vishay-dale/CRCW0603100RFKEA/1174554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</si>
</sst>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2"/>
    <xf numFmtId="44" fontId="0" fillId="0" borderId="0" xfId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44" fontId="0" fillId="2" borderId="2" xfId="1" applyFont="1" applyFill="1" applyBorder="1"/>
    <xf numFmtId="44" fontId="2" fillId="0" borderId="0" xfId="2" applyNumberFormat="1"/>
    <xf numFmtId="0" fontId="2" fillId="0" borderId="0" xfId="2" applyFill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yageo/RC0603FR-07107KL/726895?s=N4IgTCBcDaIAQGYCMSC0SAMB2A0gCQCUBhAFVQDkAROEAXQF8g" TargetMode="External"/><Relationship Id="rId2" Type="http://schemas.openxmlformats.org/officeDocument/2006/relationships/hyperlink" Target="https://www.digikey.com/en/products/detail/yageo/RC0603FR-0784K5L/727408?s=N4IgTCBcDaIAQGYCMSC0AOALAOgKwGkAJAJQGEAVVAOQBE4QBdAXyA" TargetMode="External"/><Relationship Id="rId1" Type="http://schemas.openxmlformats.org/officeDocument/2006/relationships/hyperlink" Target="https://lasertree.com/products/nichia-nubb45-455nm-34w-blue-laser-diode?srsltid=AfmBOoqF-mW3C_XScfS-U66ejNufwEc36Am2Gb8ew0pu7ZENwbMttxB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8096-62FF-4B3A-B455-132413603466}">
  <dimension ref="A1:F45"/>
  <sheetViews>
    <sheetView tabSelected="1" zoomScaleNormal="100" workbookViewId="0">
      <selection activeCell="F30" sqref="F30"/>
    </sheetView>
  </sheetViews>
  <sheetFormatPr defaultRowHeight="14.4" x14ac:dyDescent="0.3"/>
  <cols>
    <col min="1" max="1" width="21.5546875" customWidth="1"/>
    <col min="3" max="3" width="10.5546875" customWidth="1"/>
    <col min="4" max="4" width="13.77734375" customWidth="1"/>
    <col min="5" max="5" width="34.109375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35</v>
      </c>
      <c r="F1" s="5" t="s">
        <v>4</v>
      </c>
    </row>
    <row r="2" spans="1:6" x14ac:dyDescent="0.3">
      <c r="A2" t="s">
        <v>8</v>
      </c>
      <c r="B2">
        <v>2</v>
      </c>
      <c r="C2" s="2">
        <v>1.1599999999999999</v>
      </c>
      <c r="D2" s="2">
        <f t="shared" ref="D2" si="0">C2*B2</f>
        <v>2.3199999999999998</v>
      </c>
      <c r="E2" s="2" t="s">
        <v>36</v>
      </c>
      <c r="F2" s="1" t="s">
        <v>65</v>
      </c>
    </row>
    <row r="3" spans="1:6" x14ac:dyDescent="0.3">
      <c r="A3" t="s">
        <v>9</v>
      </c>
      <c r="B3">
        <v>1</v>
      </c>
      <c r="C3" s="2">
        <v>0.49</v>
      </c>
      <c r="D3" s="2">
        <f t="shared" ref="D3:D8" si="1">C3*B3</f>
        <v>0.49</v>
      </c>
      <c r="E3" s="2" t="s">
        <v>37</v>
      </c>
      <c r="F3" s="1" t="s">
        <v>66</v>
      </c>
    </row>
    <row r="4" spans="1:6" x14ac:dyDescent="0.3">
      <c r="A4" t="s">
        <v>9</v>
      </c>
      <c r="B4">
        <v>1</v>
      </c>
      <c r="C4" s="2">
        <v>2.04</v>
      </c>
      <c r="D4" s="2">
        <f t="shared" ref="D4" si="2">C4*B4</f>
        <v>2.04</v>
      </c>
      <c r="E4" s="2" t="s">
        <v>67</v>
      </c>
      <c r="F4" s="1" t="s">
        <v>68</v>
      </c>
    </row>
    <row r="5" spans="1:6" x14ac:dyDescent="0.3">
      <c r="A5" t="s">
        <v>10</v>
      </c>
      <c r="B5">
        <v>1</v>
      </c>
      <c r="C5" s="2">
        <v>0.1</v>
      </c>
      <c r="D5" s="2">
        <f t="shared" si="1"/>
        <v>0.1</v>
      </c>
      <c r="E5" s="2" t="s">
        <v>38</v>
      </c>
      <c r="F5" s="1" t="s">
        <v>69</v>
      </c>
    </row>
    <row r="6" spans="1:6" x14ac:dyDescent="0.3">
      <c r="A6" t="s">
        <v>11</v>
      </c>
      <c r="B6">
        <v>2</v>
      </c>
      <c r="C6" s="2">
        <v>0.16</v>
      </c>
      <c r="D6" s="2">
        <f t="shared" si="1"/>
        <v>0.32</v>
      </c>
      <c r="E6" s="2" t="s">
        <v>39</v>
      </c>
      <c r="F6" s="1" t="s">
        <v>70</v>
      </c>
    </row>
    <row r="7" spans="1:6" x14ac:dyDescent="0.3">
      <c r="A7" t="s">
        <v>93</v>
      </c>
      <c r="B7">
        <v>2</v>
      </c>
      <c r="C7" s="2">
        <v>7.55</v>
      </c>
      <c r="D7" s="2">
        <f>C7*B7</f>
        <v>15.1</v>
      </c>
      <c r="E7" s="2" t="s">
        <v>40</v>
      </c>
      <c r="F7" s="1" t="s">
        <v>71</v>
      </c>
    </row>
    <row r="8" spans="1:6" x14ac:dyDescent="0.3">
      <c r="A8" t="s">
        <v>12</v>
      </c>
      <c r="B8">
        <v>1</v>
      </c>
      <c r="C8" s="2">
        <v>0.1</v>
      </c>
      <c r="D8" s="2">
        <f t="shared" si="1"/>
        <v>0.1</v>
      </c>
      <c r="E8" s="2" t="s">
        <v>41</v>
      </c>
      <c r="F8" s="1" t="s">
        <v>72</v>
      </c>
    </row>
    <row r="9" spans="1:6" x14ac:dyDescent="0.3">
      <c r="A9" t="s">
        <v>13</v>
      </c>
      <c r="B9">
        <v>1</v>
      </c>
      <c r="C9" s="2">
        <v>0.1</v>
      </c>
      <c r="D9" s="2">
        <f t="shared" ref="D9:D27" si="3">C9*B9</f>
        <v>0.1</v>
      </c>
      <c r="E9" s="2" t="s">
        <v>42</v>
      </c>
      <c r="F9" s="1" t="s">
        <v>73</v>
      </c>
    </row>
    <row r="10" spans="1:6" x14ac:dyDescent="0.3">
      <c r="A10" t="s">
        <v>14</v>
      </c>
      <c r="B10">
        <v>1</v>
      </c>
      <c r="C10" s="2">
        <v>0.1</v>
      </c>
      <c r="D10" s="2">
        <f t="shared" si="3"/>
        <v>0.1</v>
      </c>
      <c r="E10" s="2" t="s">
        <v>43</v>
      </c>
      <c r="F10" s="1" t="s">
        <v>74</v>
      </c>
    </row>
    <row r="11" spans="1:6" x14ac:dyDescent="0.3">
      <c r="A11" t="s">
        <v>15</v>
      </c>
      <c r="B11">
        <v>1</v>
      </c>
      <c r="C11" s="2">
        <v>1.22</v>
      </c>
      <c r="D11" s="2">
        <f t="shared" si="3"/>
        <v>1.22</v>
      </c>
      <c r="E11" s="2" t="s">
        <v>44</v>
      </c>
      <c r="F11" s="1" t="s">
        <v>75</v>
      </c>
    </row>
    <row r="12" spans="1:6" x14ac:dyDescent="0.3">
      <c r="A12" t="s">
        <v>16</v>
      </c>
      <c r="B12">
        <v>1</v>
      </c>
      <c r="C12" s="2">
        <v>1.57</v>
      </c>
      <c r="D12" s="2">
        <f t="shared" si="3"/>
        <v>1.57</v>
      </c>
      <c r="E12" s="2" t="s">
        <v>45</v>
      </c>
      <c r="F12" s="1" t="s">
        <v>76</v>
      </c>
    </row>
    <row r="13" spans="1:6" x14ac:dyDescent="0.3">
      <c r="A13" t="s">
        <v>17</v>
      </c>
      <c r="B13">
        <v>0</v>
      </c>
      <c r="C13" s="2">
        <v>1.57</v>
      </c>
      <c r="D13" s="2">
        <f t="shared" si="3"/>
        <v>0</v>
      </c>
      <c r="E13" s="2" t="s">
        <v>46</v>
      </c>
      <c r="F13" s="1" t="s">
        <v>77</v>
      </c>
    </row>
    <row r="14" spans="1:6" x14ac:dyDescent="0.3">
      <c r="A14" t="s">
        <v>18</v>
      </c>
      <c r="B14">
        <v>1</v>
      </c>
      <c r="C14" s="2">
        <v>0.53</v>
      </c>
      <c r="D14" s="2">
        <f t="shared" si="3"/>
        <v>0.53</v>
      </c>
      <c r="E14" s="2" t="s">
        <v>47</v>
      </c>
      <c r="F14" s="1" t="s">
        <v>78</v>
      </c>
    </row>
    <row r="15" spans="1:6" x14ac:dyDescent="0.3">
      <c r="A15" t="s">
        <v>95</v>
      </c>
      <c r="B15">
        <v>2</v>
      </c>
      <c r="C15" s="2">
        <v>0.12</v>
      </c>
      <c r="D15" s="2">
        <f t="shared" ref="D15" si="4">C15*B15</f>
        <v>0.24</v>
      </c>
      <c r="E15" s="2" t="s">
        <v>96</v>
      </c>
      <c r="F15" s="1" t="s">
        <v>97</v>
      </c>
    </row>
    <row r="16" spans="1:6" x14ac:dyDescent="0.3">
      <c r="A16" t="s">
        <v>94</v>
      </c>
      <c r="B16">
        <v>3</v>
      </c>
      <c r="C16" s="2">
        <v>0.1</v>
      </c>
      <c r="D16" s="2">
        <f t="shared" si="3"/>
        <v>0.30000000000000004</v>
      </c>
      <c r="E16" s="2" t="s">
        <v>48</v>
      </c>
      <c r="F16" s="1" t="s">
        <v>79</v>
      </c>
    </row>
    <row r="17" spans="1:6" x14ac:dyDescent="0.3">
      <c r="A17" t="s">
        <v>19</v>
      </c>
      <c r="B17">
        <v>2</v>
      </c>
      <c r="C17" s="2">
        <v>1.98</v>
      </c>
      <c r="D17" s="2">
        <f t="shared" si="3"/>
        <v>3.96</v>
      </c>
      <c r="E17" s="2" t="s">
        <v>49</v>
      </c>
      <c r="F17" s="1" t="s">
        <v>80</v>
      </c>
    </row>
    <row r="18" spans="1:6" x14ac:dyDescent="0.3">
      <c r="A18" t="s">
        <v>20</v>
      </c>
      <c r="B18">
        <v>2</v>
      </c>
      <c r="C18" s="2">
        <v>0.98</v>
      </c>
      <c r="D18" s="2">
        <f t="shared" si="3"/>
        <v>1.96</v>
      </c>
      <c r="E18" s="2" t="s">
        <v>50</v>
      </c>
      <c r="F18" s="1" t="s">
        <v>81</v>
      </c>
    </row>
    <row r="19" spans="1:6" x14ac:dyDescent="0.3">
      <c r="A19" t="s">
        <v>21</v>
      </c>
      <c r="B19">
        <v>1</v>
      </c>
      <c r="C19" s="2">
        <v>0.16</v>
      </c>
      <c r="D19" s="2">
        <f t="shared" si="3"/>
        <v>0.16</v>
      </c>
      <c r="E19" s="2" t="s">
        <v>51</v>
      </c>
      <c r="F19" s="1" t="s">
        <v>82</v>
      </c>
    </row>
    <row r="20" spans="1:6" x14ac:dyDescent="0.3">
      <c r="A20" t="s">
        <v>22</v>
      </c>
      <c r="B20">
        <v>2</v>
      </c>
      <c r="C20" s="2">
        <v>10.01</v>
      </c>
      <c r="D20" s="2">
        <f t="shared" si="3"/>
        <v>20.02</v>
      </c>
      <c r="E20" s="2" t="s">
        <v>52</v>
      </c>
      <c r="F20" s="1" t="s">
        <v>83</v>
      </c>
    </row>
    <row r="21" spans="1:6" x14ac:dyDescent="0.3">
      <c r="A21" t="s">
        <v>23</v>
      </c>
      <c r="B21">
        <v>1</v>
      </c>
      <c r="C21" s="2">
        <v>7.18</v>
      </c>
      <c r="D21" s="2">
        <f t="shared" si="3"/>
        <v>7.18</v>
      </c>
      <c r="E21" s="2" t="s">
        <v>53</v>
      </c>
      <c r="F21" s="1" t="s">
        <v>84</v>
      </c>
    </row>
    <row r="22" spans="1:6" x14ac:dyDescent="0.3">
      <c r="A22" t="s">
        <v>24</v>
      </c>
      <c r="B22">
        <v>2</v>
      </c>
      <c r="C22" s="2">
        <v>4.17</v>
      </c>
      <c r="D22" s="2">
        <f t="shared" si="3"/>
        <v>8.34</v>
      </c>
      <c r="E22" s="2" t="s">
        <v>54</v>
      </c>
      <c r="F22" s="1" t="s">
        <v>85</v>
      </c>
    </row>
    <row r="23" spans="1:6" x14ac:dyDescent="0.3">
      <c r="A23" t="s">
        <v>25</v>
      </c>
      <c r="B23">
        <v>2</v>
      </c>
      <c r="C23" s="2">
        <v>0.4</v>
      </c>
      <c r="D23" s="2">
        <f t="shared" si="3"/>
        <v>0.8</v>
      </c>
      <c r="E23" s="2" t="s">
        <v>55</v>
      </c>
      <c r="F23" s="7" t="s">
        <v>86</v>
      </c>
    </row>
    <row r="24" spans="1:6" x14ac:dyDescent="0.3">
      <c r="A24" t="s">
        <v>26</v>
      </c>
      <c r="B24">
        <v>12</v>
      </c>
      <c r="C24" s="2">
        <v>2.04</v>
      </c>
      <c r="D24" s="2">
        <f t="shared" si="3"/>
        <v>24.48</v>
      </c>
      <c r="E24" s="2" t="s">
        <v>56</v>
      </c>
      <c r="F24" s="1" t="s">
        <v>6</v>
      </c>
    </row>
    <row r="25" spans="1:6" x14ac:dyDescent="0.3">
      <c r="A25" t="s">
        <v>27</v>
      </c>
      <c r="B25">
        <v>1</v>
      </c>
      <c r="C25" s="2">
        <v>2.35</v>
      </c>
      <c r="D25" s="2">
        <f t="shared" si="3"/>
        <v>2.35</v>
      </c>
      <c r="E25" s="2" t="s">
        <v>57</v>
      </c>
      <c r="F25" s="1" t="s">
        <v>87</v>
      </c>
    </row>
    <row r="26" spans="1:6" x14ac:dyDescent="0.3">
      <c r="A26" t="s">
        <v>28</v>
      </c>
      <c r="B26">
        <v>1</v>
      </c>
      <c r="C26" s="2">
        <v>1.8</v>
      </c>
      <c r="D26" s="2">
        <f t="shared" si="3"/>
        <v>1.8</v>
      </c>
      <c r="E26" s="2" t="s">
        <v>58</v>
      </c>
      <c r="F26" s="1" t="s">
        <v>88</v>
      </c>
    </row>
    <row r="27" spans="1:6" x14ac:dyDescent="0.3">
      <c r="A27" t="s">
        <v>98</v>
      </c>
      <c r="B27">
        <v>2</v>
      </c>
      <c r="C27" s="2">
        <v>0.1</v>
      </c>
      <c r="D27" s="2">
        <f t="shared" si="3"/>
        <v>0.2</v>
      </c>
      <c r="E27" s="2" t="s">
        <v>99</v>
      </c>
      <c r="F27" s="8" t="s">
        <v>100</v>
      </c>
    </row>
    <row r="28" spans="1:6" x14ac:dyDescent="0.3">
      <c r="A28" t="s">
        <v>29</v>
      </c>
      <c r="B28">
        <v>4</v>
      </c>
      <c r="C28" s="2">
        <v>0.93</v>
      </c>
      <c r="D28" s="2">
        <f t="shared" ref="D28:D33" si="5">C28*B28</f>
        <v>3.72</v>
      </c>
      <c r="E28" s="2" t="s">
        <v>59</v>
      </c>
      <c r="F28" s="1" t="s">
        <v>89</v>
      </c>
    </row>
    <row r="29" spans="1:6" x14ac:dyDescent="0.3">
      <c r="A29" t="s">
        <v>30</v>
      </c>
      <c r="B29">
        <v>7</v>
      </c>
      <c r="C29" s="2">
        <v>0.98</v>
      </c>
      <c r="D29" s="2">
        <f t="shared" si="5"/>
        <v>6.8599999999999994</v>
      </c>
      <c r="E29" s="2" t="s">
        <v>60</v>
      </c>
      <c r="F29" s="1" t="s">
        <v>90</v>
      </c>
    </row>
    <row r="30" spans="1:6" x14ac:dyDescent="0.3">
      <c r="A30" t="s">
        <v>31</v>
      </c>
      <c r="B30">
        <v>1</v>
      </c>
      <c r="C30" s="2">
        <v>129</v>
      </c>
      <c r="D30" s="2">
        <f t="shared" si="5"/>
        <v>129</v>
      </c>
      <c r="F30" s="7" t="s">
        <v>61</v>
      </c>
    </row>
    <row r="31" spans="1:6" x14ac:dyDescent="0.3">
      <c r="A31" t="s">
        <v>32</v>
      </c>
      <c r="B31">
        <v>1</v>
      </c>
      <c r="C31" s="2">
        <v>0.1</v>
      </c>
      <c r="D31" s="2">
        <f>C31*B31</f>
        <v>0.1</v>
      </c>
      <c r="E31" s="2" t="s">
        <v>62</v>
      </c>
      <c r="F31" s="1" t="s">
        <v>91</v>
      </c>
    </row>
    <row r="32" spans="1:6" x14ac:dyDescent="0.3">
      <c r="A32" t="s">
        <v>33</v>
      </c>
      <c r="B32">
        <v>2</v>
      </c>
      <c r="C32" s="2">
        <v>0.1</v>
      </c>
      <c r="D32" s="2">
        <f>C32*B32</f>
        <v>0.2</v>
      </c>
      <c r="E32" s="2" t="s">
        <v>63</v>
      </c>
      <c r="F32" s="1" t="s">
        <v>92</v>
      </c>
    </row>
    <row r="33" spans="1:6" x14ac:dyDescent="0.3">
      <c r="A33" t="s">
        <v>34</v>
      </c>
      <c r="B33">
        <v>2</v>
      </c>
      <c r="C33" s="2">
        <v>0.68</v>
      </c>
      <c r="D33" s="2">
        <f t="shared" si="5"/>
        <v>1.36</v>
      </c>
      <c r="E33" s="2" t="s">
        <v>64</v>
      </c>
      <c r="F33" s="1" t="s">
        <v>7</v>
      </c>
    </row>
    <row r="34" spans="1:6" ht="15" customHeight="1" x14ac:dyDescent="0.3">
      <c r="C34" s="2"/>
      <c r="D34" s="2"/>
      <c r="E34" s="2"/>
    </row>
    <row r="35" spans="1:6" x14ac:dyDescent="0.3">
      <c r="A35" s="3" t="s">
        <v>5</v>
      </c>
      <c r="B35" s="4"/>
      <c r="C35" s="6"/>
      <c r="D35" s="6">
        <f>SUM(D2:D34)</f>
        <v>237.02</v>
      </c>
      <c r="E35" s="6"/>
      <c r="F35" s="5"/>
    </row>
    <row r="36" spans="1:6" x14ac:dyDescent="0.3">
      <c r="C36" s="2"/>
      <c r="D36" s="2"/>
      <c r="E36" s="2"/>
    </row>
    <row r="37" spans="1:6" x14ac:dyDescent="0.3">
      <c r="C37" s="2"/>
      <c r="D37" s="2"/>
      <c r="E37" s="2"/>
    </row>
    <row r="38" spans="1:6" x14ac:dyDescent="0.3">
      <c r="C38" s="2"/>
      <c r="D38" s="2"/>
      <c r="E38" s="2"/>
    </row>
    <row r="39" spans="1:6" x14ac:dyDescent="0.3">
      <c r="C39" s="2"/>
      <c r="D39" s="2"/>
      <c r="E39" s="2"/>
    </row>
    <row r="40" spans="1:6" x14ac:dyDescent="0.3">
      <c r="C40" s="2"/>
      <c r="D40" s="2"/>
      <c r="E40" s="2"/>
    </row>
    <row r="41" spans="1:6" x14ac:dyDescent="0.3">
      <c r="C41" s="2"/>
      <c r="D41" s="2"/>
      <c r="E41" s="2"/>
    </row>
    <row r="42" spans="1:6" x14ac:dyDescent="0.3">
      <c r="C42" s="2"/>
      <c r="D42" s="2"/>
      <c r="E42" s="2"/>
    </row>
    <row r="43" spans="1:6" x14ac:dyDescent="0.3">
      <c r="C43" s="2"/>
      <c r="D43" s="2"/>
      <c r="E43" s="2"/>
    </row>
    <row r="44" spans="1:6" x14ac:dyDescent="0.3">
      <c r="C44" s="2"/>
      <c r="D44" s="2"/>
      <c r="E44" s="2"/>
    </row>
    <row r="45" spans="1:6" x14ac:dyDescent="0.3">
      <c r="C45" s="2"/>
      <c r="D45" s="2"/>
      <c r="E45" s="2"/>
    </row>
  </sheetData>
  <hyperlinks>
    <hyperlink ref="F30" r:id="rId1" xr:uid="{4AD68F25-C1E3-42A7-AC5A-323ABE61A2A1}"/>
    <hyperlink ref="F9" r:id="rId2" xr:uid="{F976FC61-23CF-46D3-94EB-4C1053EB2C7C}"/>
    <hyperlink ref="F10" r:id="rId3" xr:uid="{2128E45C-DFD0-468B-9AA1-5C0909AD22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Zigunov</dc:creator>
  <cp:lastModifiedBy>Fernando Zigunov</cp:lastModifiedBy>
  <dcterms:created xsi:type="dcterms:W3CDTF">2024-02-02T19:39:22Z</dcterms:created>
  <dcterms:modified xsi:type="dcterms:W3CDTF">2026-09-03T19:51:33Z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